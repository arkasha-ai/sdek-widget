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вки" sheetId="1" state="visible" r:id="rId1"/>
    <sheet xmlns:r="http://schemas.openxmlformats.org/officeDocument/2006/relationships" name="К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6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/>
    </xf>
    <xf numFmtId="3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5" fillId="0" borderId="0" applyAlignment="1" pivotButton="0" quotePrefix="0" xfId="0">
      <alignment horizontal="right"/>
    </xf>
    <xf numFmtId="3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>
      <c r="A1" s="1" t="inlineStr">
        <is>
          <t>СТОИМОСТЬ ЧАСА РАБОТЫ СПЕЦИАЛИСТОВ</t>
        </is>
      </c>
    </row>
    <row r="3">
      <c r="A3" s="2" t="inlineStr">
        <is>
          <t>Роль</t>
        </is>
      </c>
      <c r="B3" s="2" t="inlineStr">
        <is>
          <t>Стоимость руб/час</t>
        </is>
      </c>
      <c r="C3" s="2" t="inlineStr">
        <is>
          <t>Примечание</t>
        </is>
      </c>
    </row>
    <row r="4">
      <c r="A4" t="inlineStr">
        <is>
          <t>Front-end разработчик</t>
        </is>
      </c>
      <c r="B4" s="3" t="n">
        <v>3000</v>
      </c>
      <c r="C4" t="inlineStr"/>
    </row>
    <row r="5">
      <c r="A5" t="inlineStr">
        <is>
          <t>Back-end разработчик</t>
        </is>
      </c>
      <c r="B5" s="3" t="n">
        <v>3000</v>
      </c>
      <c r="C5" t="inlineStr"/>
    </row>
    <row r="6">
      <c r="A6" t="inlineStr">
        <is>
          <t>DevOps</t>
        </is>
      </c>
      <c r="B6" s="3" t="n">
        <v>3000</v>
      </c>
      <c r="C6" t="inlineStr"/>
    </row>
    <row r="7">
      <c r="A7" t="inlineStr">
        <is>
          <t>QA</t>
        </is>
      </c>
      <c r="B7" s="3" t="n">
        <v>3000</v>
      </c>
      <c r="C7" t="inlineStr"/>
    </row>
    <row r="8">
      <c r="A8" t="inlineStr">
        <is>
          <t>Проектный руководитель</t>
        </is>
      </c>
      <c r="B8" s="3" t="n">
        <v>3000</v>
      </c>
      <c r="C8" t="inlineStr"/>
    </row>
    <row r="9">
      <c r="A9" t="inlineStr">
        <is>
          <t>Аналитик</t>
        </is>
      </c>
      <c r="B9" s="3" t="n">
        <v>3000</v>
      </c>
      <c r="C9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30" customWidth="1" min="3" max="3"/>
    <col width="12" customWidth="1" min="4" max="4"/>
    <col width="18" customWidth="1" min="5" max="5"/>
    <col width="18" customWidth="1" min="6" max="6"/>
  </cols>
  <sheetData>
    <row r="1">
      <c r="A1" s="4" t="inlineStr">
        <is>
          <t>КОММЕРЧЕСКОЕ ПРЕДЛОЖЕНИЕ</t>
        </is>
      </c>
    </row>
    <row r="2">
      <c r="A2" s="5" t="inlineStr">
        <is>
          <t>Проект: Система ЭДО (Электронный документооборот) - Lemana Pro</t>
        </is>
      </c>
    </row>
    <row r="3">
      <c r="A3" t="inlineStr">
        <is>
          <t>Исполнитель: Gravity</t>
        </is>
      </c>
    </row>
    <row r="4">
      <c r="A4" t="inlineStr">
        <is>
          <t>Срок: 15.01.2026 - 31.08.2026 (7.5 месяцев)</t>
        </is>
      </c>
    </row>
    <row r="6">
      <c r="A6" s="2" t="inlineStr">
        <is>
          <t>№</t>
        </is>
      </c>
      <c r="B6" s="2" t="inlineStr">
        <is>
          <t>Этап/Роль</t>
        </is>
      </c>
      <c r="C6" s="2" t="inlineStr">
        <is>
          <t>Специалист</t>
        </is>
      </c>
      <c r="D6" s="2" t="inlineStr">
        <is>
          <t>Часов</t>
        </is>
      </c>
      <c r="E6" s="2" t="inlineStr">
        <is>
          <t>Ставка руб/час</t>
        </is>
      </c>
      <c r="F6" s="2" t="inlineStr">
        <is>
          <t>Стоимость руб</t>
        </is>
      </c>
    </row>
    <row r="7">
      <c r="A7" s="6" t="inlineStr">
        <is>
          <t>1. Аналитика и проектирование (4 недели)</t>
        </is>
      </c>
    </row>
    <row r="8">
      <c r="A8" s="7" t="n">
        <v>1</v>
      </c>
      <c r="B8" s="7" t="inlineStr"/>
      <c r="C8" s="7" t="inlineStr">
        <is>
          <t>Проектный руководитель</t>
        </is>
      </c>
      <c r="D8" s="8" t="n">
        <v>160</v>
      </c>
      <c r="E8" s="8">
        <f>Ставки!B8</f>
        <v/>
      </c>
      <c r="F8" s="8">
        <f>D8*E8</f>
        <v/>
      </c>
    </row>
    <row r="9">
      <c r="A9" s="7" t="n">
        <v>2</v>
      </c>
      <c r="B9" s="7" t="inlineStr"/>
      <c r="C9" s="7" t="inlineStr">
        <is>
          <t>Аналитик</t>
        </is>
      </c>
      <c r="D9" s="8" t="n">
        <v>160</v>
      </c>
      <c r="E9" s="8">
        <f>Ставки!B9</f>
        <v/>
      </c>
      <c r="F9" s="8">
        <f>D9*E9</f>
        <v/>
      </c>
    </row>
    <row r="10">
      <c r="A10" s="7" t="n">
        <v>3</v>
      </c>
      <c r="B10" s="7" t="inlineStr"/>
      <c r="C10" s="7" t="inlineStr">
        <is>
          <t>Back-end разработчик</t>
        </is>
      </c>
      <c r="D10" s="8" t="n">
        <v>40</v>
      </c>
      <c r="E10" s="8">
        <f>Ставки!B5</f>
        <v/>
      </c>
      <c r="F10" s="8">
        <f>D10*E10</f>
        <v/>
      </c>
    </row>
    <row r="11">
      <c r="A11" s="6" t="inlineStr">
        <is>
          <t>2. Инфраструктура и DevOps (3 недели)</t>
        </is>
      </c>
    </row>
    <row r="12">
      <c r="A12" s="7" t="n">
        <v>4</v>
      </c>
      <c r="B12" s="7" t="inlineStr"/>
      <c r="C12" s="7" t="inlineStr">
        <is>
          <t>DevOps</t>
        </is>
      </c>
      <c r="D12" s="8" t="n">
        <v>240</v>
      </c>
      <c r="E12" s="8">
        <f>Ставки!B6</f>
        <v/>
      </c>
      <c r="F12" s="8">
        <f>D12*E12</f>
        <v/>
      </c>
    </row>
    <row r="13">
      <c r="A13" s="6" t="inlineStr">
        <is>
          <t>3. Backend разработка (10 недель)</t>
        </is>
      </c>
    </row>
    <row r="14">
      <c r="A14" s="7" t="n">
        <v>5</v>
      </c>
      <c r="B14" s="7" t="inlineStr"/>
      <c r="C14" s="7" t="inlineStr">
        <is>
          <t>Back-end разработчик</t>
        </is>
      </c>
      <c r="D14" s="8" t="n">
        <v>800</v>
      </c>
      <c r="E14" s="8">
        <f>Ставки!B5</f>
        <v/>
      </c>
      <c r="F14" s="8">
        <f>D14*E14</f>
        <v/>
      </c>
    </row>
    <row r="15">
      <c r="A15" s="6" t="inlineStr">
        <is>
          <t>4. Frontend разработка (6 недель)</t>
        </is>
      </c>
    </row>
    <row r="16">
      <c r="A16" s="7" t="n">
        <v>6</v>
      </c>
      <c r="B16" s="7" t="inlineStr"/>
      <c r="C16" s="7" t="inlineStr">
        <is>
          <t>Front-end разработчик</t>
        </is>
      </c>
      <c r="D16" s="8" t="n">
        <v>480</v>
      </c>
      <c r="E16" s="8">
        <f>Ставки!B4</f>
        <v/>
      </c>
      <c r="F16" s="8">
        <f>D16*E16</f>
        <v/>
      </c>
    </row>
    <row r="17">
      <c r="A17" s="6" t="inlineStr">
        <is>
          <t>5. Работа с данными и хранение (2 недели)</t>
        </is>
      </c>
    </row>
    <row r="18">
      <c r="A18" s="7" t="n">
        <v>7</v>
      </c>
      <c r="B18" s="7" t="inlineStr"/>
      <c r="C18" s="7" t="inlineStr">
        <is>
          <t>Back-end разработчик</t>
        </is>
      </c>
      <c r="D18" s="8" t="n">
        <v>80</v>
      </c>
      <c r="E18" s="8">
        <f>Ставки!B5</f>
        <v/>
      </c>
      <c r="F18" s="8">
        <f>D18*E18</f>
        <v/>
      </c>
    </row>
    <row r="19">
      <c r="A19" s="7" t="n">
        <v>8</v>
      </c>
      <c r="B19" s="7" t="inlineStr"/>
      <c r="C19" s="7" t="inlineStr">
        <is>
          <t>DevOps</t>
        </is>
      </c>
      <c r="D19" s="8" t="n">
        <v>40</v>
      </c>
      <c r="E19" s="8">
        <f>Ставки!B6</f>
        <v/>
      </c>
      <c r="F19" s="8">
        <f>D19*E19</f>
        <v/>
      </c>
    </row>
    <row r="20">
      <c r="A20" s="6" t="inlineStr">
        <is>
          <t>6. Логирование, мониторинг, аудит (2 недели)</t>
        </is>
      </c>
    </row>
    <row r="21">
      <c r="A21" s="7" t="n">
        <v>9</v>
      </c>
      <c r="B21" s="7" t="inlineStr"/>
      <c r="C21" s="7" t="inlineStr">
        <is>
          <t>DevOps</t>
        </is>
      </c>
      <c r="D21" s="8" t="n">
        <v>80</v>
      </c>
      <c r="E21" s="8">
        <f>Ставки!B6</f>
        <v/>
      </c>
      <c r="F21" s="8">
        <f>D21*E21</f>
        <v/>
      </c>
    </row>
    <row r="22">
      <c r="A22" s="7" t="n">
        <v>10</v>
      </c>
      <c r="B22" s="7" t="inlineStr"/>
      <c r="C22" s="7" t="inlineStr">
        <is>
          <t>Back-end разработчик</t>
        </is>
      </c>
      <c r="D22" s="8" t="n">
        <v>40</v>
      </c>
      <c r="E22" s="8">
        <f>Ставки!B5</f>
        <v/>
      </c>
      <c r="F22" s="8">
        <f>D22*E22</f>
        <v/>
      </c>
    </row>
    <row r="23">
      <c r="A23" s="6" t="inlineStr">
        <is>
          <t>7. Тестирование (4 недели)</t>
        </is>
      </c>
    </row>
    <row r="24">
      <c r="A24" s="7" t="n">
        <v>11</v>
      </c>
      <c r="B24" s="7" t="inlineStr"/>
      <c r="C24" s="7" t="inlineStr">
        <is>
          <t>QA</t>
        </is>
      </c>
      <c r="D24" s="8" t="n">
        <v>320</v>
      </c>
      <c r="E24" s="8">
        <f>Ставки!B7</f>
        <v/>
      </c>
      <c r="F24" s="8">
        <f>D24*E24</f>
        <v/>
      </c>
    </row>
    <row r="25">
      <c r="A25" s="6" t="inlineStr">
        <is>
          <t>8. Документация (2 недели)</t>
        </is>
      </c>
    </row>
    <row r="26">
      <c r="A26" s="7" t="n">
        <v>12</v>
      </c>
      <c r="B26" s="7" t="inlineStr"/>
      <c r="C26" s="7" t="inlineStr">
        <is>
          <t>Аналитик</t>
        </is>
      </c>
      <c r="D26" s="8" t="n">
        <v>80</v>
      </c>
      <c r="E26" s="8">
        <f>Ставки!B9</f>
        <v/>
      </c>
      <c r="F26" s="8">
        <f>D26*E26</f>
        <v/>
      </c>
    </row>
    <row r="27">
      <c r="A27" s="6" t="inlineStr">
        <is>
          <t>9. Интеграционное тестирование (2 недели)</t>
        </is>
      </c>
    </row>
    <row r="28">
      <c r="A28" s="7" t="n">
        <v>13</v>
      </c>
      <c r="B28" s="7" t="inlineStr"/>
      <c r="C28" s="7" t="inlineStr">
        <is>
          <t>Back-end разработчик</t>
        </is>
      </c>
      <c r="D28" s="8" t="n">
        <v>80</v>
      </c>
      <c r="E28" s="8">
        <f>Ставки!B5</f>
        <v/>
      </c>
      <c r="F28" s="8">
        <f>D28*E28</f>
        <v/>
      </c>
    </row>
    <row r="29">
      <c r="A29" s="7" t="n">
        <v>14</v>
      </c>
      <c r="B29" s="7" t="inlineStr"/>
      <c r="C29" s="7" t="inlineStr">
        <is>
          <t>QA</t>
        </is>
      </c>
      <c r="D29" s="8" t="n">
        <v>80</v>
      </c>
      <c r="E29" s="8">
        <f>Ставки!B7</f>
        <v/>
      </c>
      <c r="F29" s="8">
        <f>D29*E29</f>
        <v/>
      </c>
    </row>
    <row r="30">
      <c r="A30" s="7" t="n">
        <v>15</v>
      </c>
      <c r="B30" s="7" t="inlineStr"/>
      <c r="C30" s="7" t="inlineStr">
        <is>
          <t>Аналитик</t>
        </is>
      </c>
      <c r="D30" s="8" t="n">
        <v>40</v>
      </c>
      <c r="E30" s="8">
        <f>Ставки!B9</f>
        <v/>
      </c>
      <c r="F30" s="8">
        <f>D30*E30</f>
        <v/>
      </c>
    </row>
    <row r="31">
      <c r="A31" s="6" t="inlineStr">
        <is>
          <t>10. Подготовка к production (2 недели)</t>
        </is>
      </c>
    </row>
    <row r="32">
      <c r="A32" s="7" t="n">
        <v>16</v>
      </c>
      <c r="B32" s="7" t="inlineStr"/>
      <c r="C32" s="7" t="inlineStr">
        <is>
          <t>DevOps</t>
        </is>
      </c>
      <c r="D32" s="8" t="n">
        <v>80</v>
      </c>
      <c r="E32" s="8">
        <f>Ставки!B6</f>
        <v/>
      </c>
      <c r="F32" s="8">
        <f>D32*E32</f>
        <v/>
      </c>
    </row>
    <row r="33">
      <c r="A33" s="7" t="n">
        <v>17</v>
      </c>
      <c r="B33" s="7" t="inlineStr"/>
      <c r="C33" s="7" t="inlineStr">
        <is>
          <t>Back-end разработчик</t>
        </is>
      </c>
      <c r="D33" s="8" t="n">
        <v>40</v>
      </c>
      <c r="E33" s="8">
        <f>Ставки!B5</f>
        <v/>
      </c>
      <c r="F33" s="8">
        <f>D33*E33</f>
        <v/>
      </c>
    </row>
    <row r="34">
      <c r="A34" s="7" t="n">
        <v>18</v>
      </c>
      <c r="B34" s="7" t="inlineStr"/>
      <c r="C34" s="7" t="inlineStr">
        <is>
          <t>QA</t>
        </is>
      </c>
      <c r="D34" s="8" t="n">
        <v>40</v>
      </c>
      <c r="E34" s="8">
        <f>Ставки!B7</f>
        <v/>
      </c>
      <c r="F34" s="8">
        <f>D34*E34</f>
        <v/>
      </c>
    </row>
    <row r="35">
      <c r="A35" s="9" t="inlineStr">
        <is>
          <t>ИТОГО:</t>
        </is>
      </c>
      <c r="F35" s="10">
        <f>SUM(F8:F34)</f>
        <v/>
      </c>
    </row>
  </sheetData>
  <mergeCells count="13">
    <mergeCell ref="A2:F2"/>
    <mergeCell ref="A11:F11"/>
    <mergeCell ref="A35:E35"/>
    <mergeCell ref="A13:F13"/>
    <mergeCell ref="A1:F1"/>
    <mergeCell ref="A23:F23"/>
    <mergeCell ref="A27:F27"/>
    <mergeCell ref="A31:F31"/>
    <mergeCell ref="A17:F17"/>
    <mergeCell ref="A20:F20"/>
    <mergeCell ref="A15:F15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2026-02-12T13:04:36Z</dcterms:created>
  <dcterms:modified xmlns:dcterms="http://purl.org/dc/terms/" xmlns:xsi="http://www.w3.org/2001/XMLSchema-instance" xsi:type="dcterms:W3CDTF">2026-02-12T13:04:36Z</dcterms:modified>
</cp:coreProperties>
</file>