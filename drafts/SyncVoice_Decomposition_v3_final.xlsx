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L38"/>
  <sheetViews>
    <sheetView workbookViewId="0">
      <selection activeCell="A1" sqref="A1"/>
    </sheetView>
  </sheetViews>
  <sheetFormatPr baseColWidth="8" defaultRowHeight="15"/>
  <sheetData>
    <row r="4">
      <c r="A4" t="inlineStr">
        <is>
          <t>1.1</t>
        </is>
      </c>
      <c r="B4" t="inlineStr">
        <is>
          <t>LiveKit SFU</t>
        </is>
      </c>
      <c r="C4" t="inlineStr">
        <is>
          <t>Развёртывание LiveKit Server</t>
        </is>
      </c>
      <c r="D4" t="inlineStr">
        <is>
          <t>Docker, порты, TLS, Redis</t>
        </is>
      </c>
      <c r="E4" t="n">
        <v>0</v>
      </c>
      <c r="F4" t="n">
        <v>0</v>
      </c>
      <c r="G4" t="n">
        <v>0</v>
      </c>
      <c r="H4" t="n">
        <v>16</v>
      </c>
      <c r="I4" t="n">
        <v>0</v>
      </c>
      <c r="J4" t="n">
        <v>2</v>
      </c>
      <c r="K4">
        <f>E4+F4+G4+H4+I4+J4</f>
        <v/>
      </c>
      <c r="L4">
        <f>E4*3000+F4*3000+G4*2500+H4*2500+I4*2000+J4*3500</f>
        <v/>
      </c>
    </row>
    <row r="5">
      <c r="A5" t="inlineStr">
        <is>
          <t>1.2</t>
        </is>
      </c>
      <c r="B5" t="inlineStr">
        <is>
          <t>Translation Agent</t>
        </is>
      </c>
      <c r="C5" t="inlineStr">
        <is>
          <t>Перенос batch pipeline</t>
        </is>
      </c>
      <c r="D5" t="inlineStr">
        <is>
          <t>LiveKit Agents SDK, VAD, chunking, fanout</t>
        </is>
      </c>
      <c r="E5" t="n">
        <v>60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>
        <f>E5+F5+G5+H5+I5+J5</f>
        <v/>
      </c>
      <c r="L5">
        <f>E5*3000+F5*3000+G5*2500+H5*2500+I5*2000+J5*3500</f>
        <v/>
      </c>
    </row>
    <row r="6">
      <c r="A6" t="inlineStr">
        <is>
          <t>1.3</t>
        </is>
      </c>
      <c r="B6" t="inlineStr">
        <is>
          <t>Маршрутизация</t>
        </is>
      </c>
      <c r="C6" t="inlineStr">
        <is>
          <t>Подписки по языкам</t>
        </is>
      </c>
      <c r="D6" t="inlineStr">
        <is>
          <t>Track subscription rules, фильтрация своего</t>
        </is>
      </c>
      <c r="E6" t="n">
        <v>0</v>
      </c>
      <c r="F6" t="n">
        <v>32</v>
      </c>
      <c r="G6" t="n">
        <v>0</v>
      </c>
      <c r="H6" t="n">
        <v>0</v>
      </c>
      <c r="I6" t="n">
        <v>0</v>
      </c>
      <c r="J6" t="n">
        <v>3</v>
      </c>
      <c r="K6">
        <f>E6+F6+G6+H6+I6+J6</f>
        <v/>
      </c>
      <c r="L6">
        <f>E6*3000+F6*3000+G6*2500+H6*2500+I6*2000+J6*3500</f>
        <v/>
      </c>
    </row>
    <row r="7">
      <c r="A7" t="inlineStr">
        <is>
          <t>1.4</t>
        </is>
      </c>
      <c r="B7" t="inlineStr">
        <is>
          <t>Web-клиент</t>
        </is>
      </c>
      <c r="C7" t="inlineStr">
        <is>
          <t>React + LiveKit Client SDK</t>
        </is>
      </c>
      <c r="D7" t="inlineStr">
        <is>
          <t>Вход, выбор языка, видео, микрофон, индикаторы</t>
        </is>
      </c>
      <c r="E7" t="n">
        <v>0</v>
      </c>
      <c r="F7" t="n">
        <v>0</v>
      </c>
      <c r="G7" t="n">
        <v>56</v>
      </c>
      <c r="H7" t="n">
        <v>0</v>
      </c>
      <c r="I7" t="n">
        <v>0</v>
      </c>
      <c r="J7" t="n">
        <v>4</v>
      </c>
      <c r="K7">
        <f>E7+F7+G7+H7+I7+J7</f>
        <v/>
      </c>
      <c r="L7">
        <f>E7*3000+F7*3000+G7*2500+H7*2500+I7*2000+J7*3500</f>
        <v/>
      </c>
    </row>
    <row r="8">
      <c r="A8" t="inlineStr">
        <is>
          <t>1.5</t>
        </is>
      </c>
      <c r="B8" t="inlineStr">
        <is>
          <t>Backend API</t>
        </is>
      </c>
      <c r="C8" t="inlineStr">
        <is>
          <t>FastAPI: комнаты и токены</t>
        </is>
      </c>
      <c r="D8" t="inlineStr">
        <is>
          <t>REST endpoints, LiveKit токены</t>
        </is>
      </c>
      <c r="E8" t="n">
        <v>0</v>
      </c>
      <c r="F8" t="n">
        <v>24</v>
      </c>
      <c r="G8" t="n">
        <v>0</v>
      </c>
      <c r="H8" t="n">
        <v>0</v>
      </c>
      <c r="I8" t="n">
        <v>0</v>
      </c>
      <c r="J8" t="n">
        <v>2</v>
      </c>
      <c r="K8">
        <f>E8+F8+G8+H8+I8+J8</f>
        <v/>
      </c>
      <c r="L8">
        <f>E8*3000+F8*3000+G8*2500+H8*2500+I8*2000+J8*3500</f>
        <v/>
      </c>
    </row>
    <row r="9">
      <c r="A9" t="inlineStr">
        <is>
          <t>1.6</t>
        </is>
      </c>
      <c r="B9" t="inlineStr">
        <is>
          <t>Coturn</t>
        </is>
      </c>
      <c r="C9" t="inlineStr">
        <is>
          <t>TURN/STUN сервер</t>
        </is>
      </c>
      <c r="D9" t="inlineStr">
        <is>
          <t>Настройка Coturn, NAT traversal</t>
        </is>
      </c>
      <c r="E9" t="n">
        <v>0</v>
      </c>
      <c r="F9" t="n">
        <v>0</v>
      </c>
      <c r="G9" t="n">
        <v>0</v>
      </c>
      <c r="H9" t="n">
        <v>12</v>
      </c>
      <c r="I9" t="n">
        <v>0</v>
      </c>
      <c r="J9" t="n">
        <v>1</v>
      </c>
      <c r="K9">
        <f>E9+F9+G9+H9+I9+J9</f>
        <v/>
      </c>
      <c r="L9">
        <f>E9*3000+F9*3000+G9*2500+H9*2500+I9*2000+J9*3500</f>
        <v/>
      </c>
    </row>
    <row r="10">
      <c r="A10" t="inlineStr">
        <is>
          <t>1.7</t>
        </is>
      </c>
      <c r="B10" t="inlineStr">
        <is>
          <t>Docker Compose MVP</t>
        </is>
      </c>
      <c r="C10" t="inlineStr">
        <is>
          <t>Compose для MVP</t>
        </is>
      </c>
      <c r="D10" t="inlineStr">
        <is>
          <t>LiveKit + Agent + Redis + Coturn, GPU runtime</t>
        </is>
      </c>
      <c r="E10" t="n">
        <v>0</v>
      </c>
      <c r="F10" t="n">
        <v>0</v>
      </c>
      <c r="G10" t="n">
        <v>0</v>
      </c>
      <c r="H10" t="n">
        <v>16</v>
      </c>
      <c r="I10" t="n">
        <v>0</v>
      </c>
      <c r="J10" t="n">
        <v>2</v>
      </c>
      <c r="K10">
        <f>E10+F10+G10+H10+I10+J10</f>
        <v/>
      </c>
      <c r="L10">
        <f>E10*3000+F10*3000+G10*2500+H10*2500+I10*2000+J10*3500</f>
        <v/>
      </c>
    </row>
    <row r="11">
      <c r="A11" t="inlineStr">
        <is>
          <t>1.8</t>
        </is>
      </c>
      <c r="B11" t="inlineStr">
        <is>
          <t>QA Phase 1</t>
        </is>
      </c>
      <c r="C11" t="inlineStr">
        <is>
          <t>Интеграционное тестирование</t>
        </is>
      </c>
      <c r="D11" t="inlineStr">
        <is>
          <t>E2E, latency, стресс-тест concurrent speakers</t>
        </is>
      </c>
      <c r="E11" t="n">
        <v>0</v>
      </c>
      <c r="F11" t="n">
        <v>0</v>
      </c>
      <c r="G11" t="n">
        <v>0</v>
      </c>
      <c r="H11" t="n">
        <v>0</v>
      </c>
      <c r="I11" t="n">
        <v>32</v>
      </c>
      <c r="J11" t="n">
        <v>2</v>
      </c>
      <c r="K11">
        <f>E11+F11+G11+H11+I11+J11</f>
        <v/>
      </c>
      <c r="L11">
        <f>E11*3000+F11*3000+G11*2500+H11*2500+I11*2000+J11*3500</f>
        <v/>
      </c>
    </row>
    <row r="12">
      <c r="A12" t="inlineStr">
        <is>
          <t>2.1</t>
        </is>
      </c>
      <c r="B12" t="inlineStr">
        <is>
          <t>Auth</t>
        </is>
      </c>
      <c r="C12" t="inlineStr">
        <is>
          <t>Аутентификация и роли (Backend)</t>
        </is>
      </c>
      <c r="D12" t="inlineStr">
        <is>
          <t>JWT, CRUD пользователей, гостевой доступ</t>
        </is>
      </c>
      <c r="E12" t="n">
        <v>0</v>
      </c>
      <c r="F12" t="n">
        <v>40</v>
      </c>
      <c r="G12" t="n">
        <v>0</v>
      </c>
      <c r="H12" t="n">
        <v>0</v>
      </c>
      <c r="I12" t="n">
        <v>0</v>
      </c>
      <c r="J12" t="n">
        <v>4</v>
      </c>
      <c r="K12">
        <f>E12+F12+G12+H12+I12+J12</f>
        <v/>
      </c>
      <c r="L12">
        <f>E12*3000+F12*3000+G12*2500+H12*2500+I12*2000+J12*3500</f>
        <v/>
      </c>
    </row>
    <row r="13">
      <c r="A13" t="inlineStr">
        <is>
          <t>2.2</t>
        </is>
      </c>
      <c r="B13" t="inlineStr">
        <is>
          <t>Auth</t>
        </is>
      </c>
      <c r="C13" t="inlineStr">
        <is>
          <t>Auth Frontend</t>
        </is>
      </c>
      <c r="D13" t="inlineStr">
        <is>
          <t>Логин, регистрация, защита роутов по ролям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2</v>
      </c>
      <c r="K13">
        <f>E13+F13+G13+H13+I13+J13</f>
        <v/>
      </c>
      <c r="L13">
        <f>E13*3000+F13*3000+G13*2500+H13*2500+I13*2000+J13*3500</f>
        <v/>
      </c>
    </row>
    <row r="14">
      <c r="A14" t="inlineStr">
        <is>
          <t>2.3</t>
        </is>
      </c>
      <c r="B14" t="inlineStr">
        <is>
          <t>GlossaryAI</t>
        </is>
      </c>
      <c r="C14" t="inlineStr">
        <is>
          <t>Модуль постобработки</t>
        </is>
      </c>
      <c r="D14" t="inlineStr">
        <is>
          <t>Trie/hash-lookup, замены, транскрипции, pipeline</t>
        </is>
      </c>
      <c r="E14" t="n">
        <v>48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>
        <f>E14+F14+G14+H14+I14+J14</f>
        <v/>
      </c>
      <c r="L14">
        <f>E14*3000+F14*3000+G14*2500+H14*2500+I14*2000+J14*3500</f>
        <v/>
      </c>
    </row>
    <row r="15">
      <c r="A15" t="inlineStr">
        <is>
          <t>2.4</t>
        </is>
      </c>
      <c r="B15" t="inlineStr">
        <is>
          <t>GlossaryAI</t>
        </is>
      </c>
      <c r="C15" t="inlineStr">
        <is>
          <t>Glossary CRUD + Import</t>
        </is>
      </c>
      <c r="D15" t="inlineStr">
        <is>
          <t>API, CSV/Excel импорт, версионирование, БД</t>
        </is>
      </c>
      <c r="E15" t="n">
        <v>0</v>
      </c>
      <c r="F15" t="n">
        <v>32</v>
      </c>
      <c r="G15" t="n">
        <v>0</v>
      </c>
      <c r="H15" t="n">
        <v>0</v>
      </c>
      <c r="I15" t="n">
        <v>0</v>
      </c>
      <c r="J15" t="n">
        <v>3</v>
      </c>
      <c r="K15">
        <f>E15+F15+G15+H15+I15+J15</f>
        <v/>
      </c>
      <c r="L15">
        <f>E15*3000+F15*3000+G15*2500+H15*2500+I15*2000+J15*3500</f>
        <v/>
      </c>
    </row>
    <row r="16">
      <c r="A16" t="inlineStr">
        <is>
          <t>2.5</t>
        </is>
      </c>
      <c r="B16" t="inlineStr">
        <is>
          <t>GlossaryAI</t>
        </is>
      </c>
      <c r="C16" t="inlineStr">
        <is>
          <t>Glossary UI</t>
        </is>
      </c>
      <c r="D16" t="inlineStr">
        <is>
          <t>Таблица терминов, импорт, версии, поиск</t>
        </is>
      </c>
      <c r="E16" t="n">
        <v>0</v>
      </c>
      <c r="F16" t="n">
        <v>0</v>
      </c>
      <c r="G16" t="n">
        <v>24</v>
      </c>
      <c r="H16" t="n">
        <v>0</v>
      </c>
      <c r="I16" t="n">
        <v>0</v>
      </c>
      <c r="J16" t="n">
        <v>2</v>
      </c>
      <c r="K16">
        <f>E16+F16+G16+H16+I16+J16</f>
        <v/>
      </c>
      <c r="L16">
        <f>E16*3000+F16*3000+G16*2500+H16*2500+I16*2000+J16*3500</f>
        <v/>
      </c>
    </row>
    <row r="17">
      <c r="A17" t="inlineStr">
        <is>
          <t>2.6</t>
        </is>
      </c>
      <c r="B17" t="inlineStr">
        <is>
          <t>Recording</t>
        </is>
      </c>
      <c r="C17" t="inlineStr">
        <is>
          <t>Recording Service</t>
        </is>
      </c>
      <c r="D17" t="inlineStr">
        <is>
          <t>LiveKit Egress, composite layout, FFmpeg mux MP4</t>
        </is>
      </c>
      <c r="E17" t="n">
        <v>0</v>
      </c>
      <c r="F17" t="n">
        <v>48</v>
      </c>
      <c r="G17" t="n">
        <v>0</v>
      </c>
      <c r="H17" t="n">
        <v>0</v>
      </c>
      <c r="I17" t="n">
        <v>0</v>
      </c>
      <c r="J17" t="n">
        <v>4</v>
      </c>
      <c r="K17">
        <f>E17+F17+G17+H17+I17+J17</f>
        <v/>
      </c>
      <c r="L17">
        <f>E17*3000+F17*3000+G17*2500+H17*2500+I17*2000+J17*3500</f>
        <v/>
      </c>
    </row>
    <row r="18">
      <c r="A18" t="inlineStr">
        <is>
          <t>2.7</t>
        </is>
      </c>
      <c r="B18" t="inlineStr">
        <is>
          <t>Recording</t>
        </is>
      </c>
      <c r="C18" t="inlineStr">
        <is>
          <t>Хранение и скачивание</t>
        </is>
      </c>
      <c r="D18" t="inlineStr">
        <is>
          <t>Файловое хранилище, retention, API скачивания</t>
        </is>
      </c>
      <c r="E18" t="n">
        <v>0</v>
      </c>
      <c r="F18" t="n">
        <v>16</v>
      </c>
      <c r="G18" t="n">
        <v>0</v>
      </c>
      <c r="H18" t="n">
        <v>0</v>
      </c>
      <c r="I18" t="n">
        <v>0</v>
      </c>
      <c r="J18" t="n">
        <v>2</v>
      </c>
      <c r="K18">
        <f>E18+F18+G18+H18+I18+J18</f>
        <v/>
      </c>
      <c r="L18">
        <f>E18*3000+F18*3000+G18*2500+H18*2500+I18*2000+J18*3500</f>
        <v/>
      </c>
    </row>
    <row r="19">
      <c r="A19" t="inlineStr">
        <is>
          <t>2.8</t>
        </is>
      </c>
      <c r="B19" t="inlineStr">
        <is>
          <t>Web-клиент</t>
        </is>
      </c>
      <c r="C19" t="inlineStr">
        <is>
          <t>Screen Sharing</t>
        </is>
      </c>
      <c r="D19" t="inlineStr">
        <is>
          <t>Screen share, переключение layout</t>
        </is>
      </c>
      <c r="E19" t="n">
        <v>0</v>
      </c>
      <c r="F19" t="n">
        <v>0</v>
      </c>
      <c r="G19" t="n">
        <v>16</v>
      </c>
      <c r="H19" t="n">
        <v>0</v>
      </c>
      <c r="I19" t="n">
        <v>0</v>
      </c>
      <c r="J19" t="n">
        <v>1</v>
      </c>
      <c r="K19">
        <f>E19+F19+G19+H19+I19+J19</f>
        <v/>
      </c>
      <c r="L19">
        <f>E19*3000+F19*3000+G19*2500+H19*2500+I19*2000+J19*3500</f>
        <v/>
      </c>
    </row>
    <row r="20">
      <c r="A20" t="inlineStr">
        <is>
          <t>2.9</t>
        </is>
      </c>
      <c r="B20" t="inlineStr">
        <is>
          <t>Admin Portal</t>
        </is>
      </c>
      <c r="C20" t="inlineStr">
        <is>
          <t>Дашборд реального времени</t>
        </is>
      </c>
      <c r="D20" t="inlineStr">
        <is>
          <t>GPU, latency, конференции — WebSocket</t>
        </is>
      </c>
      <c r="E20" t="n">
        <v>0</v>
      </c>
      <c r="F20" t="n">
        <v>0</v>
      </c>
      <c r="G20" t="n">
        <v>40</v>
      </c>
      <c r="H20" t="n">
        <v>0</v>
      </c>
      <c r="I20" t="n">
        <v>0</v>
      </c>
      <c r="J20" t="n">
        <v>4</v>
      </c>
      <c r="K20">
        <f>E20+F20+G20+H20+I20+J20</f>
        <v/>
      </c>
      <c r="L20">
        <f>E20*3000+F20*3000+G20*2500+H20*2500+I20*2000+J20*3500</f>
        <v/>
      </c>
    </row>
    <row r="21">
      <c r="A21" t="inlineStr">
        <is>
          <t>2.10</t>
        </is>
      </c>
      <c r="B21" t="inlineStr">
        <is>
          <t>Admin Portal</t>
        </is>
      </c>
      <c r="C21" t="inlineStr">
        <is>
          <t>Управление системой</t>
        </is>
      </c>
      <c r="D21" t="inlineStr">
        <is>
          <t>Пользователи, глоссарии, настройки, white-label</t>
        </is>
      </c>
      <c r="E21" t="n">
        <v>0</v>
      </c>
      <c r="F21" t="n">
        <v>0</v>
      </c>
      <c r="G21" t="n">
        <v>32</v>
      </c>
      <c r="H21" t="n">
        <v>0</v>
      </c>
      <c r="I21" t="n">
        <v>0</v>
      </c>
      <c r="J21" t="n">
        <v>3</v>
      </c>
      <c r="K21">
        <f>E21+F21+G21+H21+I21+J21</f>
        <v/>
      </c>
      <c r="L21">
        <f>E21*3000+F21*3000+G21*2500+H21*2500+I21*2000+J21*3500</f>
        <v/>
      </c>
    </row>
    <row r="22">
      <c r="A22" t="inlineStr">
        <is>
          <t>2.11</t>
        </is>
      </c>
      <c r="B22" t="inlineStr">
        <is>
          <t>Admin Portal</t>
        </is>
      </c>
      <c r="C22" t="inlineStr">
        <is>
          <t>Admin API</t>
        </is>
      </c>
      <c r="D22" t="inlineStr">
        <is>
          <t>Метрики, алерты, аудит-лог, настройки</t>
        </is>
      </c>
      <c r="E22" t="n">
        <v>0</v>
      </c>
      <c r="F22" t="n">
        <v>32</v>
      </c>
      <c r="G22" t="n">
        <v>0</v>
      </c>
      <c r="H22" t="n">
        <v>0</v>
      </c>
      <c r="I22" t="n">
        <v>0</v>
      </c>
      <c r="J22" t="n">
        <v>3</v>
      </c>
      <c r="K22">
        <f>E22+F22+G22+H22+I22+J22</f>
        <v/>
      </c>
      <c r="L22">
        <f>E22*3000+F22*3000+G22*2500+H22*2500+I22*2000+J22*3500</f>
        <v/>
      </c>
    </row>
    <row r="23">
      <c r="A23" t="inlineStr">
        <is>
          <t>2.12</t>
        </is>
      </c>
      <c r="B23" t="inlineStr">
        <is>
          <t>БД</t>
        </is>
      </c>
      <c r="C23" t="inlineStr">
        <is>
          <t>PostgreSQL schema</t>
        </is>
      </c>
      <c r="D23" t="inlineStr">
        <is>
          <t>Миграции: пользователи, сессии, глоссарии</t>
        </is>
      </c>
      <c r="E23" t="n">
        <v>0</v>
      </c>
      <c r="F23" t="n">
        <v>12</v>
      </c>
      <c r="G23" t="n">
        <v>0</v>
      </c>
      <c r="H23" t="n">
        <v>0</v>
      </c>
      <c r="I23" t="n">
        <v>0</v>
      </c>
      <c r="J23" t="n">
        <v>1</v>
      </c>
      <c r="K23">
        <f>E23+F23+G23+H23+I23+J23</f>
        <v/>
      </c>
      <c r="L23">
        <f>E23*3000+F23*3000+G23*2500+H23*2500+I23*2000+J23*3500</f>
        <v/>
      </c>
    </row>
    <row r="24">
      <c r="A24" t="inlineStr">
        <is>
          <t>2.13</t>
        </is>
      </c>
      <c r="B24" t="inlineStr">
        <is>
          <t>QA Phase 2</t>
        </is>
      </c>
      <c r="C24" t="inlineStr">
        <is>
          <t>Тестирование Phase 2</t>
        </is>
      </c>
      <c r="D24" t="inlineStr">
        <is>
          <t>Auth, глоссарий, запись, admin portal, регресс</t>
        </is>
      </c>
      <c r="E24" t="n">
        <v>0</v>
      </c>
      <c r="F24" t="n">
        <v>0</v>
      </c>
      <c r="G24" t="n">
        <v>0</v>
      </c>
      <c r="H24" t="n">
        <v>0</v>
      </c>
      <c r="I24" t="n">
        <v>40</v>
      </c>
      <c r="J24" t="n">
        <v>3</v>
      </c>
      <c r="K24">
        <f>E24+F24+G24+H24+I24+J24</f>
        <v/>
      </c>
      <c r="L24">
        <f>E24*3000+F24*3000+G24*2500+H24*2500+I24*2000+J24*3500</f>
        <v/>
      </c>
    </row>
    <row r="25">
      <c r="A25" t="inlineStr">
        <is>
          <t>3.1</t>
        </is>
      </c>
      <c r="B25" t="inlineStr">
        <is>
          <t>DevOps</t>
        </is>
      </c>
      <c r="C25" t="inlineStr">
        <is>
          <t>Docker Compose production</t>
        </is>
      </c>
      <c r="D25" t="inlineStr">
        <is>
          <t>health checks, restart, logging, env</t>
        </is>
      </c>
      <c r="E25" t="n">
        <v>0</v>
      </c>
      <c r="F25" t="n">
        <v>0</v>
      </c>
      <c r="G25" t="n">
        <v>0</v>
      </c>
      <c r="H25" t="n">
        <v>24</v>
      </c>
      <c r="I25" t="n">
        <v>0</v>
      </c>
      <c r="J25" t="n">
        <v>2</v>
      </c>
      <c r="K25">
        <f>E25+F25+G25+H25+I25+J25</f>
        <v/>
      </c>
      <c r="L25">
        <f>E25*3000+F25*3000+G25*2500+H25*2500+I25*2000+J25*3500</f>
        <v/>
      </c>
    </row>
    <row r="26">
      <c r="A26" t="inlineStr">
        <is>
          <t>3.2</t>
        </is>
      </c>
      <c r="B26" t="inlineStr">
        <is>
          <t>Безопасность</t>
        </is>
      </c>
      <c r="C26" t="inlineStr">
        <is>
          <t>TLS + шифрование</t>
        </is>
      </c>
      <c r="D26" t="inlineStr">
        <is>
          <t>Сертификаты, at rest, HTTPS</t>
        </is>
      </c>
      <c r="E26" t="n">
        <v>0</v>
      </c>
      <c r="F26" t="n">
        <v>0</v>
      </c>
      <c r="G26" t="n">
        <v>0</v>
      </c>
      <c r="H26" t="n">
        <v>20</v>
      </c>
      <c r="I26" t="n">
        <v>0</v>
      </c>
      <c r="J26" t="n">
        <v>2</v>
      </c>
      <c r="K26">
        <f>E26+F26+G26+H26+I26+J26</f>
        <v/>
      </c>
      <c r="L26">
        <f>E26*3000+F26*3000+G26*2500+H26*2500+I26*2000+J26*3500</f>
        <v/>
      </c>
    </row>
    <row r="27">
      <c r="A27" t="inlineStr">
        <is>
          <t>3.3</t>
        </is>
      </c>
      <c r="B27" t="inlineStr">
        <is>
          <t>Деплой</t>
        </is>
      </c>
      <c r="C27" t="inlineStr">
        <is>
          <t>Mac Studio</t>
        </is>
      </c>
      <c r="D27" t="inlineStr">
        <is>
          <t>launchd + venv + MPS, Docker Desktop, скрипты</t>
        </is>
      </c>
      <c r="E27" t="n">
        <v>0</v>
      </c>
      <c r="F27" t="n">
        <v>0</v>
      </c>
      <c r="G27" t="n">
        <v>0</v>
      </c>
      <c r="H27" t="n">
        <v>24</v>
      </c>
      <c r="I27" t="n">
        <v>0</v>
      </c>
      <c r="J27" t="n">
        <v>2</v>
      </c>
      <c r="K27">
        <f>E27+F27+G27+H27+I27+J27</f>
        <v/>
      </c>
      <c r="L27">
        <f>E27*3000+F27*3000+G27*2500+H27*2500+I27*2000+J27*3500</f>
        <v/>
      </c>
    </row>
    <row r="28">
      <c r="A28" t="inlineStr">
        <is>
          <t>3.4</t>
        </is>
      </c>
      <c r="B28" t="inlineStr">
        <is>
          <t>Деплой</t>
        </is>
      </c>
      <c r="C28" t="inlineStr">
        <is>
          <t>DGX Spark</t>
        </is>
      </c>
      <c r="D28" t="inlineStr">
        <is>
          <t>DGX OS, тест GB10 Blackwell</t>
        </is>
      </c>
      <c r="E28" t="n">
        <v>0</v>
      </c>
      <c r="F28" t="n">
        <v>0</v>
      </c>
      <c r="G28" t="n">
        <v>0</v>
      </c>
      <c r="H28" t="n">
        <v>16</v>
      </c>
      <c r="I28" t="n">
        <v>0</v>
      </c>
      <c r="J28" t="n">
        <v>1</v>
      </c>
      <c r="K28">
        <f>E28+F28+G28+H28+I28+J28</f>
        <v/>
      </c>
      <c r="L28">
        <f>E28*3000+F28*3000+G28*2500+H28*2500+I28*2000+J28*3500</f>
        <v/>
      </c>
    </row>
    <row r="29">
      <c r="A29" t="inlineStr">
        <is>
          <t>3.5</t>
        </is>
      </c>
      <c r="B29" t="inlineStr">
        <is>
          <t>Мониторинг</t>
        </is>
      </c>
      <c r="C29" t="inlineStr">
        <is>
          <t>Prometheus + алерты</t>
        </is>
      </c>
      <c r="D29" t="inlineStr">
        <is>
          <t>Metrics, Grafana/встроенные, алерты latency/GPU</t>
        </is>
      </c>
      <c r="E29" t="n">
        <v>0</v>
      </c>
      <c r="F29" t="n">
        <v>0</v>
      </c>
      <c r="G29" t="n">
        <v>0</v>
      </c>
      <c r="H29" t="n">
        <v>20</v>
      </c>
      <c r="I29" t="n">
        <v>0</v>
      </c>
      <c r="J29" t="n">
        <v>2</v>
      </c>
      <c r="K29">
        <f>E29+F29+G29+H29+I29+J29</f>
        <v/>
      </c>
      <c r="L29">
        <f>E29*3000+F29*3000+G29*2500+H29*2500+I29*2000+J29*3500</f>
        <v/>
      </c>
    </row>
    <row r="30">
      <c r="A30" t="inlineStr">
        <is>
          <t>3.6</t>
        </is>
      </c>
      <c r="B30" t="inlineStr">
        <is>
          <t>Документация</t>
        </is>
      </c>
      <c r="C30" t="inlineStr">
        <is>
          <t>Инструкции по установке</t>
        </is>
      </c>
      <c r="D30" t="inlineStr">
        <is>
          <t>4 конфигурации железа</t>
        </is>
      </c>
      <c r="E30" t="n">
        <v>0</v>
      </c>
      <c r="F30" t="n">
        <v>0</v>
      </c>
      <c r="G30" t="n">
        <v>0</v>
      </c>
      <c r="H30" t="n">
        <v>24</v>
      </c>
      <c r="I30" t="n">
        <v>0</v>
      </c>
      <c r="J30" t="n">
        <v>2</v>
      </c>
      <c r="K30">
        <f>E30+F30+G30+H30+I30+J30</f>
        <v/>
      </c>
      <c r="L30">
        <f>E30*3000+F30*3000+G30*2500+H30*2500+I30*2000+J30*3500</f>
        <v/>
      </c>
    </row>
    <row r="31">
      <c r="A31" t="inlineStr">
        <is>
          <t>3.7</t>
        </is>
      </c>
      <c r="B31" t="inlineStr">
        <is>
          <t>Документация</t>
        </is>
      </c>
      <c r="C31" t="inlineStr">
        <is>
          <t>Пользовательская документация</t>
        </is>
      </c>
      <c r="D31" t="inlineStr">
        <is>
          <t>Руководство: модератор, участник, администратор</t>
        </is>
      </c>
      <c r="E31" t="n">
        <v>0</v>
      </c>
      <c r="F31" t="n">
        <v>16</v>
      </c>
      <c r="G31" t="n">
        <v>0</v>
      </c>
      <c r="H31" t="n">
        <v>0</v>
      </c>
      <c r="I31" t="n">
        <v>0</v>
      </c>
      <c r="J31" t="n">
        <v>2</v>
      </c>
      <c r="K31">
        <f>E31+F31+G31+H31+I31+J31</f>
        <v/>
      </c>
      <c r="L31">
        <f>E31*3000+F31*3000+G31*2500+H31*2500+I31*2000+J31*3500</f>
        <v/>
      </c>
    </row>
    <row r="32">
      <c r="A32" t="inlineStr">
        <is>
          <t>3.8</t>
        </is>
      </c>
      <c r="B32" t="inlineStr">
        <is>
          <t>Документация</t>
        </is>
      </c>
      <c r="C32" t="inlineStr">
        <is>
          <t>API документация</t>
        </is>
      </c>
      <c r="D32" t="inlineStr">
        <is>
          <t>OpenAPI spec, примеры интеграции</t>
        </is>
      </c>
      <c r="E32" t="n">
        <v>0</v>
      </c>
      <c r="F32" t="n">
        <v>12</v>
      </c>
      <c r="G32" t="n">
        <v>0</v>
      </c>
      <c r="H32" t="n">
        <v>0</v>
      </c>
      <c r="I32" t="n">
        <v>0</v>
      </c>
      <c r="J32" t="n">
        <v>1</v>
      </c>
      <c r="K32">
        <f>E32+F32+G32+H32+I32+J32</f>
        <v/>
      </c>
      <c r="L32">
        <f>E32*3000+F32*3000+G32*2500+H32*2500+I32*2000+J32*3500</f>
        <v/>
      </c>
    </row>
    <row r="33">
      <c r="A33" t="inlineStr">
        <is>
          <t>3.9</t>
        </is>
      </c>
      <c r="B33" t="inlineStr">
        <is>
          <t>QA Phase 3</t>
        </is>
      </c>
      <c r="C33" t="inlineStr">
        <is>
          <t>Нагрузочное тестирование</t>
        </is>
      </c>
      <c r="D33" t="inlineStr">
        <is>
          <t>10–20 участников, 3 языка, latency, запись</t>
        </is>
      </c>
      <c r="E33" t="n">
        <v>0</v>
      </c>
      <c r="F33" t="n">
        <v>0</v>
      </c>
      <c r="G33" t="n">
        <v>0</v>
      </c>
      <c r="H33" t="n">
        <v>0</v>
      </c>
      <c r="I33" t="n">
        <v>24</v>
      </c>
      <c r="J33" t="n">
        <v>2</v>
      </c>
      <c r="K33">
        <f>E33+F33+G33+H33+I33+J33</f>
        <v/>
      </c>
      <c r="L33">
        <f>E33*3000+F33*3000+G33*2500+H33*2500+I33*2000+J33*3500</f>
        <v/>
      </c>
    </row>
    <row r="34">
      <c r="A34" t="inlineStr">
        <is>
          <t>3.10</t>
        </is>
      </c>
      <c r="B34" t="inlineStr">
        <is>
          <t>QA Phase 3</t>
        </is>
      </c>
      <c r="C34" t="inlineStr">
        <is>
          <t>Приёмочное тестирование</t>
        </is>
      </c>
      <c r="D34" t="inlineStr">
        <is>
          <t>Чеклист FR/NFR, баг-фиксы, финальная стабилизация</t>
        </is>
      </c>
      <c r="E34" t="n">
        <v>0</v>
      </c>
      <c r="F34" t="n">
        <v>0</v>
      </c>
      <c r="G34" t="n">
        <v>0</v>
      </c>
      <c r="H34" t="n">
        <v>0</v>
      </c>
      <c r="I34" t="n">
        <v>32</v>
      </c>
      <c r="J34" t="n">
        <v>3</v>
      </c>
      <c r="K34">
        <f>E34+F34+G34+H34+I34+J34</f>
        <v/>
      </c>
      <c r="L34">
        <f>E34*3000+F34*3000+G34*2500+H34*2500+I34*2000+J34*3500</f>
        <v/>
      </c>
    </row>
    <row r="36">
      <c r="E36">
        <f>SUM(E4:E34)</f>
        <v/>
      </c>
      <c r="F36">
        <f>SUM(F4:F34)</f>
        <v/>
      </c>
      <c r="G36">
        <f>SUM(G4:G34)</f>
        <v/>
      </c>
      <c r="H36">
        <f>SUM(H4:H34)</f>
        <v/>
      </c>
      <c r="I36">
        <f>SUM(I4:I34)</f>
        <v/>
      </c>
      <c r="J36">
        <f>SUM(J4:J34)</f>
        <v/>
      </c>
      <c r="K36">
        <f>SUM(K4:K34)</f>
        <v/>
      </c>
      <c r="L36">
        <f>SUM(L4:L34)</f>
        <v/>
      </c>
    </row>
    <row r="37">
      <c r="E37">
        <f>E36*0.15</f>
        <v/>
      </c>
      <c r="F37">
        <f>F36*0.15</f>
        <v/>
      </c>
      <c r="G37">
        <f>G36*0.15</f>
        <v/>
      </c>
      <c r="H37">
        <f>H36*0.15</f>
        <v/>
      </c>
      <c r="I37">
        <f>I36*0.15</f>
        <v/>
      </c>
      <c r="J37">
        <f>J36*0.15</f>
        <v/>
      </c>
      <c r="K37">
        <f>K36*0.15</f>
        <v/>
      </c>
      <c r="L37">
        <f>L36*0.15</f>
        <v/>
      </c>
    </row>
    <row r="38">
      <c r="E38">
        <f>E36+E37</f>
        <v/>
      </c>
      <c r="F38">
        <f>F36+F37</f>
        <v/>
      </c>
      <c r="G38">
        <f>G36+G37</f>
        <v/>
      </c>
      <c r="H38">
        <f>H36+H37</f>
        <v/>
      </c>
      <c r="I38">
        <f>I36+I37</f>
        <v/>
      </c>
      <c r="J38">
        <f>J36+J37</f>
        <v/>
      </c>
      <c r="K38">
        <f>K36+K37</f>
        <v/>
      </c>
      <c r="L38">
        <f>L36+L37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2026-02-24T05:52:35Z</dcterms:created>
  <dcterms:modified xmlns:dcterms="http://purl.org/dc/terms/" xmlns:xsi="http://www.w3.org/2001/XMLSchema-instance" xsi:type="dcterms:W3CDTF">2026-02-24T05:52:35Z</dcterms:modified>
</cp:coreProperties>
</file>