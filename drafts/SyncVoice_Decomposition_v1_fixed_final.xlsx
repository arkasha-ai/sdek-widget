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алисты" sheetId="1" state="visible" r:id="rId1"/>
    <sheet xmlns:r="http://schemas.openxmlformats.org/officeDocument/2006/relationships" name="Декомпозиция" sheetId="2" state="visible" r:id="rId2"/>
    <sheet xmlns:r="http://schemas.openxmlformats.org/officeDocument/2006/relationships"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10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E3A5F"/>
      <sz val="10"/>
    </font>
    <font>
      <name val="Calibri"/>
      <b val="1"/>
      <color rgb="006B7280"/>
      <sz val="1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2D4E7E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DBEAFE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3" fillId="3" borderId="1" applyAlignment="1" pivotButton="0" quotePrefix="0" xfId="0">
      <alignment horizontal="center"/>
    </xf>
    <xf numFmtId="0" fontId="3" fillId="4" borderId="1" pivotButton="0" quotePrefix="0" xfId="0"/>
    <xf numFmtId="164" fontId="3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right"/>
    </xf>
    <xf numFmtId="0" fontId="5" fillId="7" borderId="1" pivotButton="0" quotePrefix="0" xfId="0"/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0" fontId="7" fillId="8" borderId="0" pivotButton="0" quotePrefix="0" xfId="0"/>
    <xf numFmtId="0" fontId="7" fillId="8" borderId="1" applyAlignment="1" pivotButton="0" quotePrefix="0" xfId="0">
      <alignment horizontal="center"/>
    </xf>
    <xf numFmtId="164" fontId="7" fillId="8" borderId="1" applyAlignment="1" pivotButton="0" quotePrefix="0" xfId="0">
      <alignment horizontal="right"/>
    </xf>
    <xf numFmtId="0" fontId="8" fillId="9" borderId="0" pivotButton="0" quotePrefix="0" xfId="0"/>
    <xf numFmtId="0" fontId="5" fillId="9" borderId="1" applyAlignment="1" pivotButton="0" quotePrefix="0" xfId="0">
      <alignment horizontal="center"/>
    </xf>
    <xf numFmtId="164" fontId="5" fillId="9" borderId="1" applyAlignment="1" pivotButton="0" quotePrefix="0" xfId="0">
      <alignment horizontal="right"/>
    </xf>
    <xf numFmtId="0" fontId="9" fillId="2" borderId="0" pivotButton="0" quotePrefix="0" xfId="0"/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</cols>
  <sheetData>
    <row r="1" ht="28" customHeight="1">
      <c r="A1" s="1" t="inlineStr">
        <is>
          <t>SyncVoice™ — Состав команды и ставки</t>
        </is>
      </c>
    </row>
    <row r="3">
      <c r="A3" s="2" t="inlineStr">
        <is>
          <t>Роль</t>
        </is>
      </c>
      <c r="B3" s="2" t="inlineStr">
        <is>
          <t>Ставка (₽/ч)</t>
        </is>
      </c>
      <c r="C3" s="2" t="inlineStr">
        <is>
          <t>Примечание</t>
        </is>
      </c>
    </row>
    <row r="4">
      <c r="A4" s="3" t="inlineStr">
        <is>
          <t>ML-инженер</t>
        </is>
      </c>
      <c r="B4" s="4" t="n">
        <v>3000</v>
      </c>
      <c r="C4" s="3" t="inlineStr">
        <is>
          <t>Inference оптимизация, SeamlessM4T, VAD pipeline</t>
        </is>
      </c>
    </row>
    <row r="5">
      <c r="A5" s="5" t="inlineStr">
        <is>
          <t>Backend Senior</t>
        </is>
      </c>
      <c r="B5" s="6" t="n">
        <v>3000</v>
      </c>
      <c r="C5" s="5" t="inlineStr">
        <is>
          <t>FastAPI, LiveKit SDK, PostgreSQL, Recording Service</t>
        </is>
      </c>
    </row>
    <row r="6">
      <c r="A6" s="3" t="inlineStr">
        <is>
          <t>Frontend</t>
        </is>
      </c>
      <c r="B6" s="4" t="n">
        <v>2500</v>
      </c>
      <c r="C6" s="3" t="inlineStr">
        <is>
          <t>React, LiveKit Client SDK, Admin Portal</t>
        </is>
      </c>
    </row>
    <row r="7">
      <c r="A7" s="5" t="inlineStr">
        <is>
          <t>DevOps</t>
        </is>
      </c>
      <c r="B7" s="6" t="n">
        <v>2500</v>
      </c>
      <c r="C7" s="5" t="inlineStr">
        <is>
          <t>Docker, NVIDIA CUDA, Coturn, мониторинг</t>
        </is>
      </c>
    </row>
    <row r="8">
      <c r="A8" s="3" t="inlineStr">
        <is>
          <t>QA</t>
        </is>
      </c>
      <c r="B8" s="4" t="n">
        <v>2000</v>
      </c>
      <c r="C8" s="3" t="inlineStr">
        <is>
          <t>Функциональное и нагрузочное тестирование</t>
        </is>
      </c>
    </row>
    <row r="9">
      <c r="A9" s="5" t="inlineStr">
        <is>
          <t>РП</t>
        </is>
      </c>
      <c r="B9" s="6" t="n">
        <v>3500</v>
      </c>
      <c r="C9" s="5" t="inlineStr">
        <is>
          <t>Управление проектом, коммуникации с клиентом, приёмка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6" customWidth="1" min="12" max="12"/>
    <col width="20" customWidth="1" min="13" max="13"/>
  </cols>
  <sheetData>
    <row r="1" ht="28" customHeight="1">
      <c r="A1" s="1" t="inlineStr">
        <is>
          <t>SyncVoice™ — Декомпозиция и оценка трудозатрат</t>
        </is>
      </c>
    </row>
    <row r="2" ht="30" customHeight="1">
      <c r="A2" s="7" t="inlineStr">
        <is>
          <t>Задача</t>
        </is>
      </c>
      <c r="E2" s="8" t="inlineStr">
        <is>
          <t>ML-инженер</t>
        </is>
      </c>
      <c r="F2" s="8" t="inlineStr">
        <is>
          <t>Backend Senior</t>
        </is>
      </c>
      <c r="G2" s="8" t="inlineStr">
        <is>
          <t>Frontend</t>
        </is>
      </c>
      <c r="H2" s="8" t="inlineStr">
        <is>
          <t>DevOps</t>
        </is>
      </c>
      <c r="I2" s="8" t="inlineStr">
        <is>
          <t>QA</t>
        </is>
      </c>
      <c r="J2" s="8" t="inlineStr">
        <is>
          <t>РП</t>
        </is>
      </c>
      <c r="K2" s="8" t="inlineStr">
        <is>
          <t>Итого часов</t>
        </is>
      </c>
      <c r="L2" s="8" t="inlineStr">
        <is>
          <t>Стоимость (₽)</t>
        </is>
      </c>
      <c r="M2" s="8" t="inlineStr">
        <is>
          <t>Фаза</t>
        </is>
      </c>
    </row>
    <row r="3" ht="30" customHeight="1">
      <c r="A3" s="9" t="inlineStr">
        <is>
          <t>#</t>
        </is>
      </c>
      <c r="B3" s="9" t="inlineStr">
        <is>
          <t>Модуль</t>
        </is>
      </c>
      <c r="C3" s="9" t="inlineStr">
        <is>
          <t>Задача</t>
        </is>
      </c>
      <c r="D3" s="9" t="inlineStr">
        <is>
          <t>Описание</t>
        </is>
      </c>
      <c r="E3" s="9" t="inlineStr">
        <is>
          <t>ML-инженер</t>
        </is>
      </c>
      <c r="F3" s="9" t="inlineStr">
        <is>
          <t>Backend Senior</t>
        </is>
      </c>
      <c r="G3" s="9" t="inlineStr">
        <is>
          <t>Frontend</t>
        </is>
      </c>
      <c r="H3" s="9" t="inlineStr">
        <is>
          <t>DevOps</t>
        </is>
      </c>
      <c r="I3" s="9" t="inlineStr">
        <is>
          <t>QA</t>
        </is>
      </c>
      <c r="J3" s="9" t="inlineStr">
        <is>
          <t>РП</t>
        </is>
      </c>
      <c r="K3" s="9" t="inlineStr">
        <is>
          <t>Итого часов</t>
        </is>
      </c>
      <c r="L3" s="9" t="inlineStr">
        <is>
          <t>Стоимость (₽)</t>
        </is>
      </c>
      <c r="M3" s="9" t="inlineStr">
        <is>
          <t>Фаза</t>
        </is>
      </c>
    </row>
    <row r="4" ht="22" customHeight="1">
      <c r="A4" s="10" t="inlineStr">
        <is>
          <t>1.1</t>
        </is>
      </c>
      <c r="B4" s="10" t="inlineStr">
        <is>
          <t>LiveKit SFU</t>
        </is>
      </c>
      <c r="C4" s="10" t="inlineStr">
        <is>
          <t>Развёртывание LiveKit Server</t>
        </is>
      </c>
      <c r="D4" s="10" t="inlineStr">
        <is>
          <t>Docker, порты, TLS, Redis</t>
        </is>
      </c>
      <c r="E4" s="11" t="n">
        <v>0</v>
      </c>
      <c r="F4" s="11" t="n">
        <v>0</v>
      </c>
      <c r="G4" s="11" t="n">
        <v>0</v>
      </c>
      <c r="H4" s="11" t="n">
        <v>16</v>
      </c>
      <c r="I4" s="11" t="n">
        <v>0</v>
      </c>
      <c r="J4" s="11" t="n">
        <v>2</v>
      </c>
      <c r="K4" s="12" t="n">
        <v>18</v>
      </c>
      <c r="L4" s="13" t="n">
        <v>47000</v>
      </c>
      <c r="M4" s="11" t="inlineStr">
        <is>
          <t>Phase 1: MVP</t>
        </is>
      </c>
    </row>
    <row r="5" ht="22" customHeight="1">
      <c r="A5" s="10" t="inlineStr">
        <is>
          <t>1.2</t>
        </is>
      </c>
      <c r="B5" s="10" t="inlineStr">
        <is>
          <t>Translation Agent</t>
        </is>
      </c>
      <c r="C5" s="10" t="inlineStr">
        <is>
          <t>Перенос batch pipeline</t>
        </is>
      </c>
      <c r="D5" s="10" t="inlineStr">
        <is>
          <t>LiveKit Agents SDK, VAD, chunking, fanout</t>
        </is>
      </c>
      <c r="E5" s="11" t="n">
        <v>60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4</v>
      </c>
      <c r="K5" s="12" t="n">
        <v>64</v>
      </c>
      <c r="L5" s="13" t="n">
        <v>194000</v>
      </c>
      <c r="M5" s="11" t="inlineStr">
        <is>
          <t>Phase 1: MVP</t>
        </is>
      </c>
    </row>
    <row r="6" ht="22" customHeight="1">
      <c r="A6" s="10" t="inlineStr">
        <is>
          <t>1.3</t>
        </is>
      </c>
      <c r="B6" s="10" t="inlineStr">
        <is>
          <t>Маршрутизация</t>
        </is>
      </c>
      <c r="C6" s="10" t="inlineStr">
        <is>
          <t>Подписки по языкам</t>
        </is>
      </c>
      <c r="D6" s="10" t="inlineStr">
        <is>
          <t>Track subscription rules, фильтрация своего</t>
        </is>
      </c>
      <c r="E6" s="11" t="n">
        <v>0</v>
      </c>
      <c r="F6" s="11" t="n">
        <v>32</v>
      </c>
      <c r="G6" s="11" t="n">
        <v>0</v>
      </c>
      <c r="H6" s="11" t="n">
        <v>0</v>
      </c>
      <c r="I6" s="11" t="n">
        <v>0</v>
      </c>
      <c r="J6" s="11" t="n">
        <v>3</v>
      </c>
      <c r="K6" s="12" t="n">
        <v>35</v>
      </c>
      <c r="L6" s="13" t="n">
        <v>106500</v>
      </c>
      <c r="M6" s="11" t="inlineStr">
        <is>
          <t>Phase 1: MVP</t>
        </is>
      </c>
    </row>
    <row r="7" ht="22" customHeight="1">
      <c r="A7" s="10" t="inlineStr">
        <is>
          <t>1.4</t>
        </is>
      </c>
      <c r="B7" s="10" t="inlineStr">
        <is>
          <t>Web-клиент</t>
        </is>
      </c>
      <c r="C7" s="10" t="inlineStr">
        <is>
          <t>React + LiveKit Client SDK</t>
        </is>
      </c>
      <c r="D7" s="10" t="inlineStr">
        <is>
          <t>Вход, выбор языка, видео, микрофон, индикаторы</t>
        </is>
      </c>
      <c r="E7" s="11" t="n">
        <v>0</v>
      </c>
      <c r="F7" s="11" t="n">
        <v>0</v>
      </c>
      <c r="G7" s="11" t="n">
        <v>56</v>
      </c>
      <c r="H7" s="11" t="n">
        <v>0</v>
      </c>
      <c r="I7" s="11" t="n">
        <v>0</v>
      </c>
      <c r="J7" s="11" t="n">
        <v>4</v>
      </c>
      <c r="K7" s="12" t="n">
        <v>60</v>
      </c>
      <c r="L7" s="13" t="n">
        <v>154000</v>
      </c>
      <c r="M7" s="11" t="inlineStr">
        <is>
          <t>Phase 1: MVP</t>
        </is>
      </c>
    </row>
    <row r="8" ht="22" customHeight="1">
      <c r="A8" s="10" t="inlineStr">
        <is>
          <t>1.5</t>
        </is>
      </c>
      <c r="B8" s="10" t="inlineStr">
        <is>
          <t>Backend API</t>
        </is>
      </c>
      <c r="C8" s="10" t="inlineStr">
        <is>
          <t>FastAPI: комнаты и токены</t>
        </is>
      </c>
      <c r="D8" s="10" t="inlineStr">
        <is>
          <t>REST endpoints, LiveKit токены</t>
        </is>
      </c>
      <c r="E8" s="11" t="n">
        <v>0</v>
      </c>
      <c r="F8" s="11" t="n">
        <v>24</v>
      </c>
      <c r="G8" s="11" t="n">
        <v>0</v>
      </c>
      <c r="H8" s="11" t="n">
        <v>0</v>
      </c>
      <c r="I8" s="11" t="n">
        <v>0</v>
      </c>
      <c r="J8" s="11" t="n">
        <v>2</v>
      </c>
      <c r="K8" s="12" t="n">
        <v>26</v>
      </c>
      <c r="L8" s="13" t="n">
        <v>79000</v>
      </c>
      <c r="M8" s="11" t="inlineStr">
        <is>
          <t>Phase 1: MVP</t>
        </is>
      </c>
    </row>
    <row r="9" ht="22" customHeight="1">
      <c r="A9" s="10" t="inlineStr">
        <is>
          <t>1.6</t>
        </is>
      </c>
      <c r="B9" s="10" t="inlineStr">
        <is>
          <t>Coturn</t>
        </is>
      </c>
      <c r="C9" s="10" t="inlineStr">
        <is>
          <t>TURN/STUN сервер</t>
        </is>
      </c>
      <c r="D9" s="10" t="inlineStr">
        <is>
          <t>Настройка Coturn, NAT traversal</t>
        </is>
      </c>
      <c r="E9" s="11" t="n">
        <v>0</v>
      </c>
      <c r="F9" s="11" t="n">
        <v>0</v>
      </c>
      <c r="G9" s="11" t="n">
        <v>0</v>
      </c>
      <c r="H9" s="11" t="n">
        <v>12</v>
      </c>
      <c r="I9" s="11" t="n">
        <v>0</v>
      </c>
      <c r="J9" s="11" t="n">
        <v>1</v>
      </c>
      <c r="K9" s="12" t="n">
        <v>13</v>
      </c>
      <c r="L9" s="13" t="n">
        <v>33500</v>
      </c>
      <c r="M9" s="11" t="inlineStr">
        <is>
          <t>Phase 1: MVP</t>
        </is>
      </c>
    </row>
    <row r="10" ht="22" customHeight="1">
      <c r="A10" s="10" t="inlineStr">
        <is>
          <t>1.7</t>
        </is>
      </c>
      <c r="B10" s="10" t="inlineStr">
        <is>
          <t>Docker Compose MVP</t>
        </is>
      </c>
      <c r="C10" s="10" t="inlineStr">
        <is>
          <t>Compose для MVP</t>
        </is>
      </c>
      <c r="D10" s="10" t="inlineStr">
        <is>
          <t>LiveKit + Agent + Redis + Coturn, GPU runtime</t>
        </is>
      </c>
      <c r="E10" s="11" t="n">
        <v>0</v>
      </c>
      <c r="F10" s="11" t="n">
        <v>0</v>
      </c>
      <c r="G10" s="11" t="n">
        <v>0</v>
      </c>
      <c r="H10" s="11" t="n">
        <v>16</v>
      </c>
      <c r="I10" s="11" t="n">
        <v>0</v>
      </c>
      <c r="J10" s="11" t="n">
        <v>2</v>
      </c>
      <c r="K10" s="12" t="n">
        <v>18</v>
      </c>
      <c r="L10" s="13" t="n">
        <v>47000</v>
      </c>
      <c r="M10" s="11" t="inlineStr">
        <is>
          <t>Phase 1: MVP</t>
        </is>
      </c>
    </row>
    <row r="11" ht="22" customHeight="1">
      <c r="A11" s="10" t="inlineStr">
        <is>
          <t>1.8</t>
        </is>
      </c>
      <c r="B11" s="10" t="inlineStr">
        <is>
          <t>QA Phase 1</t>
        </is>
      </c>
      <c r="C11" s="10" t="inlineStr">
        <is>
          <t>Интеграционное тестирование</t>
        </is>
      </c>
      <c r="D11" s="10" t="inlineStr">
        <is>
          <t>E2E, latency, стресс-тест concurrent speakers</t>
        </is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32</v>
      </c>
      <c r="J11" s="11" t="n">
        <v>2</v>
      </c>
      <c r="K11" s="12" t="n">
        <v>34</v>
      </c>
      <c r="L11" s="13" t="n">
        <v>71000</v>
      </c>
      <c r="M11" s="11" t="inlineStr">
        <is>
          <t>Phase 1: MVP</t>
        </is>
      </c>
    </row>
    <row r="12" ht="22" customHeight="1">
      <c r="A12" s="14" t="inlineStr">
        <is>
          <t>2.1</t>
        </is>
      </c>
      <c r="B12" s="14" t="inlineStr">
        <is>
          <t>Auth</t>
        </is>
      </c>
      <c r="C12" s="14" t="inlineStr">
        <is>
          <t>Аутентификация и роли (Backend)</t>
        </is>
      </c>
      <c r="D12" s="14" t="inlineStr">
        <is>
          <t>JWT, CRUD пользователей, гостевой доступ</t>
        </is>
      </c>
      <c r="E12" s="15" t="n">
        <v>0</v>
      </c>
      <c r="F12" s="15" t="n">
        <v>40</v>
      </c>
      <c r="G12" s="15" t="n">
        <v>0</v>
      </c>
      <c r="H12" s="15" t="n">
        <v>0</v>
      </c>
      <c r="I12" s="15" t="n">
        <v>0</v>
      </c>
      <c r="J12" s="15" t="n">
        <v>4</v>
      </c>
      <c r="K12" s="16" t="n">
        <v>44</v>
      </c>
      <c r="L12" s="17" t="n">
        <v>134000</v>
      </c>
      <c r="M12" s="15" t="inlineStr">
        <is>
          <t>Phase 2: Продукт</t>
        </is>
      </c>
    </row>
    <row r="13" ht="22" customHeight="1">
      <c r="A13" s="14" t="inlineStr">
        <is>
          <t>2.2</t>
        </is>
      </c>
      <c r="B13" s="14" t="inlineStr">
        <is>
          <t>Auth</t>
        </is>
      </c>
      <c r="C13" s="14" t="inlineStr">
        <is>
          <t>Auth Frontend</t>
        </is>
      </c>
      <c r="D13" s="14" t="inlineStr">
        <is>
          <t>Логин, регистрация, защита роутов по ролям</t>
        </is>
      </c>
      <c r="E13" s="15" t="n">
        <v>0</v>
      </c>
      <c r="F13" s="15" t="n">
        <v>0</v>
      </c>
      <c r="G13" s="15" t="n">
        <v>24</v>
      </c>
      <c r="H13" s="15" t="n">
        <v>0</v>
      </c>
      <c r="I13" s="15" t="n">
        <v>0</v>
      </c>
      <c r="J13" s="15" t="n">
        <v>2</v>
      </c>
      <c r="K13" s="16" t="n">
        <v>26</v>
      </c>
      <c r="L13" s="17" t="n">
        <v>67000</v>
      </c>
      <c r="M13" s="15" t="inlineStr">
        <is>
          <t>Phase 2: Продукт</t>
        </is>
      </c>
    </row>
    <row r="14" ht="22" customHeight="1">
      <c r="A14" s="14" t="inlineStr">
        <is>
          <t>2.3</t>
        </is>
      </c>
      <c r="B14" s="14" t="inlineStr">
        <is>
          <t>GlossaryAI</t>
        </is>
      </c>
      <c r="C14" s="14" t="inlineStr">
        <is>
          <t>Модуль постобработки</t>
        </is>
      </c>
      <c r="D14" s="14" t="inlineStr">
        <is>
          <t>Trie/hash-lookup, замены, транскрипции, pipeline</t>
        </is>
      </c>
      <c r="E14" s="15" t="n">
        <v>48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4</v>
      </c>
      <c r="K14" s="16" t="n">
        <v>52</v>
      </c>
      <c r="L14" s="17" t="n">
        <v>158000</v>
      </c>
      <c r="M14" s="15" t="inlineStr">
        <is>
          <t>Phase 2: Продукт</t>
        </is>
      </c>
    </row>
    <row r="15" ht="22" customHeight="1">
      <c r="A15" s="14" t="inlineStr">
        <is>
          <t>2.4</t>
        </is>
      </c>
      <c r="B15" s="14" t="inlineStr">
        <is>
          <t>GlossaryAI</t>
        </is>
      </c>
      <c r="C15" s="14" t="inlineStr">
        <is>
          <t>Glossary CRUD + Import</t>
        </is>
      </c>
      <c r="D15" s="14" t="inlineStr">
        <is>
          <t>API, CSV/Excel импорт, версионирование, БД</t>
        </is>
      </c>
      <c r="E15" s="15" t="n">
        <v>0</v>
      </c>
      <c r="F15" s="15" t="n">
        <v>32</v>
      </c>
      <c r="G15" s="15" t="n">
        <v>0</v>
      </c>
      <c r="H15" s="15" t="n">
        <v>0</v>
      </c>
      <c r="I15" s="15" t="n">
        <v>0</v>
      </c>
      <c r="J15" s="15" t="n">
        <v>3</v>
      </c>
      <c r="K15" s="16" t="n">
        <v>35</v>
      </c>
      <c r="L15" s="17" t="n">
        <v>106500</v>
      </c>
      <c r="M15" s="15" t="inlineStr">
        <is>
          <t>Phase 2: Продукт</t>
        </is>
      </c>
    </row>
    <row r="16" ht="22" customHeight="1">
      <c r="A16" s="14" t="inlineStr">
        <is>
          <t>2.5</t>
        </is>
      </c>
      <c r="B16" s="14" t="inlineStr">
        <is>
          <t>GlossaryAI</t>
        </is>
      </c>
      <c r="C16" s="14" t="inlineStr">
        <is>
          <t>Glossary UI</t>
        </is>
      </c>
      <c r="D16" s="14" t="inlineStr">
        <is>
          <t>Таблица терминов, импорт, версии, поиск</t>
        </is>
      </c>
      <c r="E16" s="15" t="n">
        <v>0</v>
      </c>
      <c r="F16" s="15" t="n">
        <v>0</v>
      </c>
      <c r="G16" s="15" t="n">
        <v>24</v>
      </c>
      <c r="H16" s="15" t="n">
        <v>0</v>
      </c>
      <c r="I16" s="15" t="n">
        <v>0</v>
      </c>
      <c r="J16" s="15" t="n">
        <v>2</v>
      </c>
      <c r="K16" s="16" t="n">
        <v>26</v>
      </c>
      <c r="L16" s="17" t="n">
        <v>67000</v>
      </c>
      <c r="M16" s="15" t="inlineStr">
        <is>
          <t>Phase 2: Продукт</t>
        </is>
      </c>
    </row>
    <row r="17" ht="22" customHeight="1">
      <c r="A17" s="14" t="inlineStr">
        <is>
          <t>2.6</t>
        </is>
      </c>
      <c r="B17" s="14" t="inlineStr">
        <is>
          <t>Recording</t>
        </is>
      </c>
      <c r="C17" s="14" t="inlineStr">
        <is>
          <t>Recording Service</t>
        </is>
      </c>
      <c r="D17" s="14" t="inlineStr">
        <is>
          <t>LiveKit Egress, composite layout, FFmpeg mux MP4</t>
        </is>
      </c>
      <c r="E17" s="15" t="n">
        <v>0</v>
      </c>
      <c r="F17" s="15" t="n">
        <v>48</v>
      </c>
      <c r="G17" s="15" t="n">
        <v>0</v>
      </c>
      <c r="H17" s="15" t="n">
        <v>0</v>
      </c>
      <c r="I17" s="15" t="n">
        <v>0</v>
      </c>
      <c r="J17" s="15" t="n">
        <v>4</v>
      </c>
      <c r="K17" s="16" t="n">
        <v>52</v>
      </c>
      <c r="L17" s="17" t="n">
        <v>158000</v>
      </c>
      <c r="M17" s="15" t="inlineStr">
        <is>
          <t>Phase 2: Продукт</t>
        </is>
      </c>
    </row>
    <row r="18" ht="22" customHeight="1">
      <c r="A18" s="14" t="inlineStr">
        <is>
          <t>2.7</t>
        </is>
      </c>
      <c r="B18" s="14" t="inlineStr">
        <is>
          <t>Recording</t>
        </is>
      </c>
      <c r="C18" s="14" t="inlineStr">
        <is>
          <t>Хранение и скачивание</t>
        </is>
      </c>
      <c r="D18" s="14" t="inlineStr">
        <is>
          <t>Файловое хранилище, retention, API скачивания</t>
        </is>
      </c>
      <c r="E18" s="15" t="n">
        <v>0</v>
      </c>
      <c r="F18" s="15" t="n">
        <v>16</v>
      </c>
      <c r="G18" s="15" t="n">
        <v>0</v>
      </c>
      <c r="H18" s="15" t="n">
        <v>0</v>
      </c>
      <c r="I18" s="15" t="n">
        <v>0</v>
      </c>
      <c r="J18" s="15" t="n">
        <v>2</v>
      </c>
      <c r="K18" s="16" t="n">
        <v>18</v>
      </c>
      <c r="L18" s="17" t="n">
        <v>55000</v>
      </c>
      <c r="M18" s="15" t="inlineStr">
        <is>
          <t>Phase 2: Продукт</t>
        </is>
      </c>
    </row>
    <row r="19" ht="22" customHeight="1">
      <c r="A19" s="14" t="inlineStr">
        <is>
          <t>2.8</t>
        </is>
      </c>
      <c r="B19" s="14" t="inlineStr">
        <is>
          <t>Web-клиент</t>
        </is>
      </c>
      <c r="C19" s="14" t="inlineStr">
        <is>
          <t>Screen Sharing</t>
        </is>
      </c>
      <c r="D19" s="14" t="inlineStr">
        <is>
          <t>Screen share, переключение layout</t>
        </is>
      </c>
      <c r="E19" s="15" t="n">
        <v>0</v>
      </c>
      <c r="F19" s="15" t="n">
        <v>0</v>
      </c>
      <c r="G19" s="15" t="n">
        <v>16</v>
      </c>
      <c r="H19" s="15" t="n">
        <v>0</v>
      </c>
      <c r="I19" s="15" t="n">
        <v>0</v>
      </c>
      <c r="J19" s="15" t="n">
        <v>1</v>
      </c>
      <c r="K19" s="16" t="n">
        <v>17</v>
      </c>
      <c r="L19" s="17" t="n">
        <v>43500</v>
      </c>
      <c r="M19" s="15" t="inlineStr">
        <is>
          <t>Phase 2: Продукт</t>
        </is>
      </c>
    </row>
    <row r="20" ht="22" customHeight="1">
      <c r="A20" s="14" t="inlineStr">
        <is>
          <t>2.9</t>
        </is>
      </c>
      <c r="B20" s="14" t="inlineStr">
        <is>
          <t>Admin Portal</t>
        </is>
      </c>
      <c r="C20" s="14" t="inlineStr">
        <is>
          <t>Дашборд реального времени</t>
        </is>
      </c>
      <c r="D20" s="14" t="inlineStr">
        <is>
          <t>GPU, latency, конференции — WebSocket</t>
        </is>
      </c>
      <c r="E20" s="15" t="n">
        <v>0</v>
      </c>
      <c r="F20" s="15" t="n">
        <v>0</v>
      </c>
      <c r="G20" s="15" t="n">
        <v>40</v>
      </c>
      <c r="H20" s="15" t="n">
        <v>0</v>
      </c>
      <c r="I20" s="15" t="n">
        <v>0</v>
      </c>
      <c r="J20" s="15" t="n">
        <v>4</v>
      </c>
      <c r="K20" s="16" t="n">
        <v>44</v>
      </c>
      <c r="L20" s="17" t="n">
        <v>114000</v>
      </c>
      <c r="M20" s="15" t="inlineStr">
        <is>
          <t>Phase 2: Продукт</t>
        </is>
      </c>
    </row>
    <row r="21" ht="22" customHeight="1">
      <c r="A21" s="14" t="inlineStr">
        <is>
          <t>2.10</t>
        </is>
      </c>
      <c r="B21" s="14" t="inlineStr">
        <is>
          <t>Admin Portal</t>
        </is>
      </c>
      <c r="C21" s="14" t="inlineStr">
        <is>
          <t>Управление системой</t>
        </is>
      </c>
      <c r="D21" s="14" t="inlineStr">
        <is>
          <t>Пользователи, глоссарии, настройки, white-label</t>
        </is>
      </c>
      <c r="E21" s="15" t="n">
        <v>0</v>
      </c>
      <c r="F21" s="15" t="n">
        <v>0</v>
      </c>
      <c r="G21" s="15" t="n">
        <v>32</v>
      </c>
      <c r="H21" s="15" t="n">
        <v>0</v>
      </c>
      <c r="I21" s="15" t="n">
        <v>0</v>
      </c>
      <c r="J21" s="15" t="n">
        <v>3</v>
      </c>
      <c r="K21" s="16" t="n">
        <v>35</v>
      </c>
      <c r="L21" s="17" t="n">
        <v>90500</v>
      </c>
      <c r="M21" s="15" t="inlineStr">
        <is>
          <t>Phase 2: Продукт</t>
        </is>
      </c>
    </row>
    <row r="22" ht="22" customHeight="1">
      <c r="A22" s="14" t="inlineStr">
        <is>
          <t>2.11</t>
        </is>
      </c>
      <c r="B22" s="14" t="inlineStr">
        <is>
          <t>Admin Portal</t>
        </is>
      </c>
      <c r="C22" s="14" t="inlineStr">
        <is>
          <t>Admin API</t>
        </is>
      </c>
      <c r="D22" s="14" t="inlineStr">
        <is>
          <t>Метрики, алерты, аудит-лог, настройки</t>
        </is>
      </c>
      <c r="E22" s="15" t="n">
        <v>0</v>
      </c>
      <c r="F22" s="15" t="n">
        <v>32</v>
      </c>
      <c r="G22" s="15" t="n">
        <v>0</v>
      </c>
      <c r="H22" s="15" t="n">
        <v>0</v>
      </c>
      <c r="I22" s="15" t="n">
        <v>0</v>
      </c>
      <c r="J22" s="15" t="n">
        <v>3</v>
      </c>
      <c r="K22" s="16" t="n">
        <v>35</v>
      </c>
      <c r="L22" s="17" t="n">
        <v>106500</v>
      </c>
      <c r="M22" s="15" t="inlineStr">
        <is>
          <t>Phase 2: Продукт</t>
        </is>
      </c>
    </row>
    <row r="23" ht="22" customHeight="1">
      <c r="A23" s="14" t="inlineStr">
        <is>
          <t>2.12</t>
        </is>
      </c>
      <c r="B23" s="14" t="inlineStr">
        <is>
          <t>БД</t>
        </is>
      </c>
      <c r="C23" s="14" t="inlineStr">
        <is>
          <t>PostgreSQL schema</t>
        </is>
      </c>
      <c r="D23" s="14" t="inlineStr">
        <is>
          <t>Миграции: пользователи, сессии, глоссарии</t>
        </is>
      </c>
      <c r="E23" s="15" t="n">
        <v>0</v>
      </c>
      <c r="F23" s="15" t="n">
        <v>12</v>
      </c>
      <c r="G23" s="15" t="n">
        <v>0</v>
      </c>
      <c r="H23" s="15" t="n">
        <v>0</v>
      </c>
      <c r="I23" s="15" t="n">
        <v>0</v>
      </c>
      <c r="J23" s="15" t="n">
        <v>1</v>
      </c>
      <c r="K23" s="16" t="n">
        <v>13</v>
      </c>
      <c r="L23" s="17" t="n">
        <v>39500</v>
      </c>
      <c r="M23" s="15" t="inlineStr">
        <is>
          <t>Phase 2: Продукт</t>
        </is>
      </c>
    </row>
    <row r="24" ht="22" customHeight="1">
      <c r="A24" s="14" t="inlineStr">
        <is>
          <t>2.13</t>
        </is>
      </c>
      <c r="B24" s="14" t="inlineStr">
        <is>
          <t>QA Phase 2</t>
        </is>
      </c>
      <c r="C24" s="14" t="inlineStr">
        <is>
          <t>Тестирование Phase 2</t>
        </is>
      </c>
      <c r="D24" s="14" t="inlineStr">
        <is>
          <t>Auth, глоссарий, запись, admin portal, регресс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40</v>
      </c>
      <c r="J24" s="15" t="n">
        <v>3</v>
      </c>
      <c r="K24" s="16" t="n">
        <v>43</v>
      </c>
      <c r="L24" s="17" t="n">
        <v>90500</v>
      </c>
      <c r="M24" s="15" t="inlineStr">
        <is>
          <t>Phase 2: Продукт</t>
        </is>
      </c>
    </row>
    <row r="25" ht="22" customHeight="1">
      <c r="A25" s="18" t="inlineStr">
        <is>
          <t>3.1</t>
        </is>
      </c>
      <c r="B25" s="18" t="inlineStr">
        <is>
          <t>DevOps</t>
        </is>
      </c>
      <c r="C25" s="18" t="inlineStr">
        <is>
          <t>Docker Compose production</t>
        </is>
      </c>
      <c r="D25" s="18" t="inlineStr">
        <is>
          <t>health checks, restart, logging, env</t>
        </is>
      </c>
      <c r="E25" s="19" t="n">
        <v>0</v>
      </c>
      <c r="F25" s="19" t="n">
        <v>0</v>
      </c>
      <c r="G25" s="19" t="n">
        <v>0</v>
      </c>
      <c r="H25" s="19" t="n">
        <v>24</v>
      </c>
      <c r="I25" s="19" t="n">
        <v>0</v>
      </c>
      <c r="J25" s="19" t="n">
        <v>2</v>
      </c>
      <c r="K25" s="20" t="n">
        <v>26</v>
      </c>
      <c r="L25" s="21" t="n">
        <v>67000</v>
      </c>
      <c r="M25" s="19" t="inlineStr">
        <is>
          <t>Phase 3: Prod-ready</t>
        </is>
      </c>
    </row>
    <row r="26" ht="22" customHeight="1">
      <c r="A26" s="18" t="inlineStr">
        <is>
          <t>3.2</t>
        </is>
      </c>
      <c r="B26" s="18" t="inlineStr">
        <is>
          <t>Безопасность</t>
        </is>
      </c>
      <c r="C26" s="18" t="inlineStr">
        <is>
          <t>TLS + шифрование</t>
        </is>
      </c>
      <c r="D26" s="18" t="inlineStr">
        <is>
          <t>Сертификаты, at rest, HTTPS</t>
        </is>
      </c>
      <c r="E26" s="19" t="n">
        <v>0</v>
      </c>
      <c r="F26" s="19" t="n">
        <v>0</v>
      </c>
      <c r="G26" s="19" t="n">
        <v>0</v>
      </c>
      <c r="H26" s="19" t="n">
        <v>20</v>
      </c>
      <c r="I26" s="19" t="n">
        <v>0</v>
      </c>
      <c r="J26" s="19" t="n">
        <v>2</v>
      </c>
      <c r="K26" s="20" t="n">
        <v>22</v>
      </c>
      <c r="L26" s="21" t="n">
        <v>57000</v>
      </c>
      <c r="M26" s="19" t="inlineStr">
        <is>
          <t>Phase 3: Prod-ready</t>
        </is>
      </c>
    </row>
    <row r="27" ht="22" customHeight="1">
      <c r="A27" s="18" t="inlineStr">
        <is>
          <t>3.3</t>
        </is>
      </c>
      <c r="B27" s="18" t="inlineStr">
        <is>
          <t>Деплой</t>
        </is>
      </c>
      <c r="C27" s="18" t="inlineStr">
        <is>
          <t>Mac Studio</t>
        </is>
      </c>
      <c r="D27" s="18" t="inlineStr">
        <is>
          <t>launchd + venv + MPS, Docker Desktop, скрипты</t>
        </is>
      </c>
      <c r="E27" s="19" t="n">
        <v>0</v>
      </c>
      <c r="F27" s="19" t="n">
        <v>0</v>
      </c>
      <c r="G27" s="19" t="n">
        <v>0</v>
      </c>
      <c r="H27" s="19" t="n">
        <v>24</v>
      </c>
      <c r="I27" s="19" t="n">
        <v>0</v>
      </c>
      <c r="J27" s="19" t="n">
        <v>2</v>
      </c>
      <c r="K27" s="20" t="n">
        <v>26</v>
      </c>
      <c r="L27" s="21" t="n">
        <v>67000</v>
      </c>
      <c r="M27" s="19" t="inlineStr">
        <is>
          <t>Phase 3: Prod-ready</t>
        </is>
      </c>
    </row>
    <row r="28" ht="22" customHeight="1">
      <c r="A28" s="18" t="inlineStr">
        <is>
          <t>3.4</t>
        </is>
      </c>
      <c r="B28" s="18" t="inlineStr">
        <is>
          <t>Деплой</t>
        </is>
      </c>
      <c r="C28" s="18" t="inlineStr">
        <is>
          <t>DGX Spark</t>
        </is>
      </c>
      <c r="D28" s="18" t="inlineStr">
        <is>
          <t>DGX OS, тест GB10 Blackwell</t>
        </is>
      </c>
      <c r="E28" s="19" t="n">
        <v>0</v>
      </c>
      <c r="F28" s="19" t="n">
        <v>0</v>
      </c>
      <c r="G28" s="19" t="n">
        <v>0</v>
      </c>
      <c r="H28" s="19" t="n">
        <v>16</v>
      </c>
      <c r="I28" s="19" t="n">
        <v>0</v>
      </c>
      <c r="J28" s="19" t="n">
        <v>1</v>
      </c>
      <c r="K28" s="20" t="n">
        <v>17</v>
      </c>
      <c r="L28" s="21" t="n">
        <v>43500</v>
      </c>
      <c r="M28" s="19" t="inlineStr">
        <is>
          <t>Phase 3: Prod-ready</t>
        </is>
      </c>
    </row>
    <row r="29" ht="22" customHeight="1">
      <c r="A29" s="18" t="inlineStr">
        <is>
          <t>3.5</t>
        </is>
      </c>
      <c r="B29" s="18" t="inlineStr">
        <is>
          <t>Мониторинг</t>
        </is>
      </c>
      <c r="C29" s="18" t="inlineStr">
        <is>
          <t>Prometheus + алерты</t>
        </is>
      </c>
      <c r="D29" s="18" t="inlineStr">
        <is>
          <t>Metrics, Grafana/встроенные, алерты latency/GPU</t>
        </is>
      </c>
      <c r="E29" s="19" t="n">
        <v>0</v>
      </c>
      <c r="F29" s="19" t="n">
        <v>0</v>
      </c>
      <c r="G29" s="19" t="n">
        <v>0</v>
      </c>
      <c r="H29" s="19" t="n">
        <v>20</v>
      </c>
      <c r="I29" s="19" t="n">
        <v>0</v>
      </c>
      <c r="J29" s="19" t="n">
        <v>2</v>
      </c>
      <c r="K29" s="20" t="n">
        <v>22</v>
      </c>
      <c r="L29" s="21" t="n">
        <v>57000</v>
      </c>
      <c r="M29" s="19" t="inlineStr">
        <is>
          <t>Phase 3: Prod-ready</t>
        </is>
      </c>
    </row>
    <row r="30" ht="22" customHeight="1">
      <c r="A30" s="18" t="inlineStr">
        <is>
          <t>3.6</t>
        </is>
      </c>
      <c r="B30" s="18" t="inlineStr">
        <is>
          <t>Документация</t>
        </is>
      </c>
      <c r="C30" s="18" t="inlineStr">
        <is>
          <t>Инструкции по установке</t>
        </is>
      </c>
      <c r="D30" s="18" t="inlineStr">
        <is>
          <t>4 конфигурации железа</t>
        </is>
      </c>
      <c r="E30" s="19" t="n">
        <v>0</v>
      </c>
      <c r="F30" s="19" t="n">
        <v>0</v>
      </c>
      <c r="G30" s="19" t="n">
        <v>0</v>
      </c>
      <c r="H30" s="19" t="n">
        <v>24</v>
      </c>
      <c r="I30" s="19" t="n">
        <v>0</v>
      </c>
      <c r="J30" s="19" t="n">
        <v>2</v>
      </c>
      <c r="K30" s="20" t="n">
        <v>26</v>
      </c>
      <c r="L30" s="21" t="n">
        <v>67000</v>
      </c>
      <c r="M30" s="19" t="inlineStr">
        <is>
          <t>Phase 3: Prod-ready</t>
        </is>
      </c>
    </row>
    <row r="31" ht="22" customHeight="1">
      <c r="A31" s="18" t="inlineStr">
        <is>
          <t>3.7</t>
        </is>
      </c>
      <c r="B31" s="18" t="inlineStr">
        <is>
          <t>Документация</t>
        </is>
      </c>
      <c r="C31" s="18" t="inlineStr">
        <is>
          <t>Пользовательская документация</t>
        </is>
      </c>
      <c r="D31" s="18" t="inlineStr">
        <is>
          <t>Руководство: модератор, участник, администратор</t>
        </is>
      </c>
      <c r="E31" s="19" t="n">
        <v>0</v>
      </c>
      <c r="F31" s="19" t="n">
        <v>16</v>
      </c>
      <c r="G31" s="19" t="n">
        <v>0</v>
      </c>
      <c r="H31" s="19" t="n">
        <v>0</v>
      </c>
      <c r="I31" s="19" t="n">
        <v>0</v>
      </c>
      <c r="J31" s="19" t="n">
        <v>2</v>
      </c>
      <c r="K31" s="20" t="n">
        <v>18</v>
      </c>
      <c r="L31" s="21" t="n">
        <v>55000</v>
      </c>
      <c r="M31" s="19" t="inlineStr">
        <is>
          <t>Phase 3: Prod-ready</t>
        </is>
      </c>
    </row>
    <row r="32" ht="22" customHeight="1">
      <c r="A32" s="18" t="inlineStr">
        <is>
          <t>3.8</t>
        </is>
      </c>
      <c r="B32" s="18" t="inlineStr">
        <is>
          <t>Документация</t>
        </is>
      </c>
      <c r="C32" s="18" t="inlineStr">
        <is>
          <t>API документация</t>
        </is>
      </c>
      <c r="D32" s="18" t="inlineStr">
        <is>
          <t>OpenAPI spec, примеры интеграции</t>
        </is>
      </c>
      <c r="E32" s="19" t="n">
        <v>0</v>
      </c>
      <c r="F32" s="19" t="n">
        <v>12</v>
      </c>
      <c r="G32" s="19" t="n">
        <v>0</v>
      </c>
      <c r="H32" s="19" t="n">
        <v>0</v>
      </c>
      <c r="I32" s="19" t="n">
        <v>0</v>
      </c>
      <c r="J32" s="19" t="n">
        <v>1</v>
      </c>
      <c r="K32" s="20" t="n">
        <v>13</v>
      </c>
      <c r="L32" s="21" t="n">
        <v>39500</v>
      </c>
      <c r="M32" s="19" t="inlineStr">
        <is>
          <t>Phase 3: Prod-ready</t>
        </is>
      </c>
    </row>
    <row r="33" ht="22" customHeight="1">
      <c r="A33" s="18" t="inlineStr">
        <is>
          <t>3.9</t>
        </is>
      </c>
      <c r="B33" s="18" t="inlineStr">
        <is>
          <t>QA Phase 3</t>
        </is>
      </c>
      <c r="C33" s="18" t="inlineStr">
        <is>
          <t>Нагрузочное тестирование</t>
        </is>
      </c>
      <c r="D33" s="18" t="inlineStr">
        <is>
          <t>10–20 участников, 3 языка, latency, запись</t>
        </is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24</v>
      </c>
      <c r="J33" s="19" t="n">
        <v>2</v>
      </c>
      <c r="K33" s="20" t="n">
        <v>26</v>
      </c>
      <c r="L33" s="21" t="n">
        <v>55000</v>
      </c>
      <c r="M33" s="19" t="inlineStr">
        <is>
          <t>Phase 3: Prod-ready</t>
        </is>
      </c>
    </row>
    <row r="34" ht="22" customHeight="1">
      <c r="A34" s="18" t="inlineStr">
        <is>
          <t>3.10</t>
        </is>
      </c>
      <c r="B34" s="18" t="inlineStr">
        <is>
          <t>QA Phase 3</t>
        </is>
      </c>
      <c r="C34" s="18" t="inlineStr">
        <is>
          <t>Приёмочное тестирование</t>
        </is>
      </c>
      <c r="D34" s="18" t="inlineStr">
        <is>
          <t>Чеклист FR/NFR, баг-фиксы, финальная стабилизация</t>
        </is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32</v>
      </c>
      <c r="J34" s="19" t="n">
        <v>3</v>
      </c>
      <c r="K34" s="20" t="n">
        <v>35</v>
      </c>
      <c r="L34" s="21" t="n">
        <v>74500</v>
      </c>
      <c r="M34" s="19" t="inlineStr">
        <is>
          <t>Phase 3: Prod-ready</t>
        </is>
      </c>
    </row>
    <row r="36">
      <c r="A36" s="22" t="inlineStr">
        <is>
          <t>ИТОГО (без буфера)</t>
        </is>
      </c>
      <c r="E36" s="23">
        <f>SUM(E4:E34)</f>
        <v/>
      </c>
      <c r="F36" s="23">
        <f>SUM(F4:F34)</f>
        <v/>
      </c>
      <c r="G36" s="23">
        <f>SUM(G4:G34)</f>
        <v/>
      </c>
      <c r="H36" s="23">
        <f>SUM(H4:H34)</f>
        <v/>
      </c>
      <c r="I36" s="23">
        <f>SUM(I4:I34)</f>
        <v/>
      </c>
      <c r="J36" s="23">
        <f>SUM(J4:J34)</f>
        <v/>
      </c>
      <c r="K36" s="23">
        <f>SUM(K4:K34)</f>
        <v/>
      </c>
      <c r="L36" s="24">
        <f>SUM(L4:L34)</f>
        <v/>
      </c>
    </row>
    <row r="37">
      <c r="A37" s="25" t="inlineStr">
        <is>
          <t>Буфер на риски (+15%)</t>
        </is>
      </c>
      <c r="E37" s="26">
        <f>E36*0.15</f>
        <v/>
      </c>
      <c r="F37" s="26">
        <f>F36*0.15</f>
        <v/>
      </c>
      <c r="G37" s="26">
        <f>G36*0.15</f>
        <v/>
      </c>
      <c r="H37" s="26">
        <f>H36*0.15</f>
        <v/>
      </c>
      <c r="I37" s="26">
        <f>I36*0.15</f>
        <v/>
      </c>
      <c r="J37" s="26">
        <f>J36*0.15</f>
        <v/>
      </c>
      <c r="K37" s="26">
        <f>K36*0.15</f>
        <v/>
      </c>
      <c r="L37" s="27">
        <f>L36*0.15</f>
        <v/>
      </c>
    </row>
    <row r="38">
      <c r="A38" s="28" t="inlineStr">
        <is>
          <t>ИТОГО С БУФЕРОМ</t>
        </is>
      </c>
      <c r="E38" s="29">
        <f>E36+E37</f>
        <v/>
      </c>
      <c r="F38" s="29">
        <f>F36+F37</f>
        <v/>
      </c>
      <c r="G38" s="29">
        <f>G36+G37</f>
        <v/>
      </c>
      <c r="H38" s="29">
        <f>H36+H37</f>
        <v/>
      </c>
      <c r="I38" s="29">
        <f>I36+I37</f>
        <v/>
      </c>
      <c r="J38" s="29">
        <f>J36+J37</f>
        <v/>
      </c>
      <c r="K38" s="29">
        <f>K36+K37</f>
        <v/>
      </c>
      <c r="L38" s="30">
        <f>L36+L37</f>
        <v/>
      </c>
    </row>
  </sheetData>
  <mergeCells count="5">
    <mergeCell ref="A37:D37"/>
    <mergeCell ref="A1:M1"/>
    <mergeCell ref="A38:D38"/>
    <mergeCell ref="A2:D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22" customWidth="1" min="4" max="4"/>
    <col width="22" customWidth="1" min="5" max="5"/>
    <col width="14" customWidth="1" min="6" max="6"/>
  </cols>
  <sheetData>
    <row r="1" ht="28" customHeight="1">
      <c r="A1" s="31" t="inlineStr">
        <is>
          <t>SyncVoice™ — Сводная таблица по фазам</t>
        </is>
      </c>
    </row>
    <row r="3" ht="28" customHeight="1">
      <c r="A3" s="32" t="inlineStr">
        <is>
          <t>Фаза</t>
        </is>
      </c>
      <c r="B3" s="32" t="inlineStr">
        <is>
          <t>Задач</t>
        </is>
      </c>
      <c r="C3" s="32" t="inlineStr">
        <is>
          <t>Часов</t>
        </is>
      </c>
      <c r="D3" s="32" t="inlineStr">
        <is>
          <t>Стоимость (без буфера)</t>
        </is>
      </c>
      <c r="E3" s="32" t="inlineStr">
        <is>
          <t>Стоимость (+15%)</t>
        </is>
      </c>
      <c r="F3" s="32" t="inlineStr">
        <is>
          <t>Срок</t>
        </is>
      </c>
    </row>
    <row r="4">
      <c r="A4" s="33" t="inlineStr">
        <is>
          <t>Phase 1: MVP</t>
        </is>
      </c>
      <c r="B4" s="34" t="n">
        <v>8</v>
      </c>
      <c r="C4" s="34" t="n">
        <v>268</v>
      </c>
      <c r="D4" s="4" t="n">
        <v>732000</v>
      </c>
      <c r="E4" s="4" t="n">
        <v>841799.9999999999</v>
      </c>
      <c r="F4" s="34" t="inlineStr">
        <is>
          <t>6–8 недель</t>
        </is>
      </c>
    </row>
    <row r="5">
      <c r="A5" s="35" t="inlineStr">
        <is>
          <t>Phase 2: Продукт</t>
        </is>
      </c>
      <c r="B5" s="36" t="n">
        <v>13</v>
      </c>
      <c r="C5" s="36" t="n">
        <v>440</v>
      </c>
      <c r="D5" s="37" t="n">
        <v>1230000</v>
      </c>
      <c r="E5" s="37" t="n">
        <v>1414500</v>
      </c>
      <c r="F5" s="36" t="inlineStr">
        <is>
          <t>8–10 недель</t>
        </is>
      </c>
    </row>
    <row r="6">
      <c r="A6" s="38" t="inlineStr">
        <is>
          <t>Phase 3: Prod-ready</t>
        </is>
      </c>
      <c r="B6" s="39" t="n">
        <v>10</v>
      </c>
      <c r="C6" s="39" t="n">
        <v>231</v>
      </c>
      <c r="D6" s="40" t="n">
        <v>582500</v>
      </c>
      <c r="E6" s="40" t="n">
        <v>669875</v>
      </c>
      <c r="F6" s="39" t="inlineStr">
        <is>
          <t>4–6 недель</t>
        </is>
      </c>
    </row>
    <row r="7">
      <c r="A7" s="41" t="inlineStr">
        <is>
          <t>ИТОГО С БУФЕРОМ</t>
        </is>
      </c>
      <c r="B7" s="29" t="n"/>
      <c r="C7" s="29" t="n">
        <v>1079.85</v>
      </c>
      <c r="D7" s="42" t="n">
        <v>2544500</v>
      </c>
      <c r="E7" s="42" t="n">
        <v>2926175</v>
      </c>
      <c r="F7" s="29" t="inlineStr">
        <is>
          <t>20–26 недель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2026-02-23T00:20:04Z</dcterms:created>
  <dcterms:modified xmlns:dcterms="http://purl.org/dc/terms/" xmlns:xsi="http://www.w3.org/2001/XMLSchema-instance" xsi:type="dcterms:W3CDTF">2026-02-23T05:53:08Z</dcterms:modified>
</cp:coreProperties>
</file>