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руб.&quot;"/>
  </numFmts>
  <fonts count="19">
    <font>
      <name val="Calibri"/>
      <family val="2"/>
      <color theme="1"/>
      <sz val="11"/>
      <scheme val="minor"/>
    </font>
    <font>
      <name val="Calibri"/>
      <color rgb="00595959"/>
      <sz val="9"/>
    </font>
    <font>
      <name val="Calibri"/>
      <b val="1"/>
      <color rgb="001F3864"/>
      <sz val="10"/>
    </font>
    <font>
      <name val="Calibri"/>
      <b val="1"/>
      <color rgb="00FFFFFF"/>
      <sz val="13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000000"/>
      <sz val="9"/>
    </font>
    <font>
      <name val="Calibri"/>
      <b val="1"/>
      <color rgb="00FF8C00"/>
      <sz val="10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color rgb="007F6000"/>
      <sz val="9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color rgb="007F6000"/>
      <sz val="10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4EEF9"/>
      </patternFill>
    </fill>
    <fill>
      <patternFill patternType="solid">
        <fgColor rgb="00F0F5FF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3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3" fontId="12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3" fontId="13" fillId="9" borderId="1" applyAlignment="1" pivotButton="0" quotePrefix="0" xfId="0">
      <alignment horizontal="right" vertical="center" wrapText="1"/>
    </xf>
    <xf numFmtId="0" fontId="14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3" fontId="3" fillId="3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 vertical="center" wrapText="1"/>
    </xf>
    <xf numFmtId="3" fontId="16" fillId="8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3" fontId="16" fillId="3" borderId="1" applyAlignment="1" pivotButton="0" quotePrefix="0" xfId="0">
      <alignment horizontal="center" vertical="center" wrapText="1"/>
    </xf>
    <xf numFmtId="164" fontId="18" fillId="3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48" customWidth="1" min="12" max="12"/>
    <col width="8" customWidth="1" min="13" max="13"/>
    <col width="10" customWidth="1" min="14" max="14"/>
  </cols>
  <sheetData>
    <row r="1" ht="30" customHeight="1">
      <c r="A1" s="1" t="inlineStr">
        <is>
          <t>SyncVoice™ Platform — Декомпозиция и оценка по специалистам</t>
        </is>
      </c>
    </row>
    <row r="2">
      <c r="A2" s="2" t="inlineStr">
        <is>
          <t>Ставка: 3 000 руб./ч (все специалисты)  |  Разработка с нуля  |  On-premise, GPU  |  Буфер 15% отдельной строкой</t>
        </is>
      </c>
      <c r="M2" s="3" t="inlineStr">
        <is>
          <t>Ставка:</t>
        </is>
      </c>
      <c r="N2" s="4" t="n">
        <v>3000</v>
      </c>
    </row>
    <row r="3" ht="36" customHeight="1">
      <c r="A3" s="5" t="inlineStr">
        <is>
          <t>№</t>
        </is>
      </c>
      <c r="B3" s="5" t="inlineStr">
        <is>
          <t>Функция / Блок</t>
        </is>
      </c>
      <c r="C3" s="5" t="inlineStr">
        <is>
          <t>Приор.</t>
        </is>
      </c>
      <c r="D3" s="5" t="inlineStr">
        <is>
          <t>Аналит.,ч</t>
        </is>
      </c>
      <c r="E3" s="5" t="inlineStr">
        <is>
          <t>Разраб.
BE,ч</t>
        </is>
      </c>
      <c r="F3" s="5" t="inlineStr">
        <is>
          <t>Разраб.
FE,ч</t>
        </is>
      </c>
      <c r="G3" s="5" t="inlineStr">
        <is>
          <t>QA,ч</t>
        </is>
      </c>
      <c r="H3" s="5" t="inlineStr">
        <is>
          <t>PM,ч</t>
        </is>
      </c>
      <c r="I3" s="5" t="inlineStr">
        <is>
          <t>DevOps,ч</t>
        </is>
      </c>
      <c r="J3" s="5" t="inlineStr">
        <is>
          <t>Итого,ч</t>
        </is>
      </c>
      <c r="K3" s="5" t="inlineStr">
        <is>
          <t>Стоимость,
руб.</t>
        </is>
      </c>
      <c r="L3" s="5" t="inlineStr">
        <is>
          <t>Примечание</t>
        </is>
      </c>
    </row>
    <row r="4" ht="22" customHeight="1">
      <c r="A4" s="6" t="inlineStr"/>
      <c r="B4" s="7" t="inlineStr">
        <is>
          <t>АРХИТЕКТУРА И ПРОЕКТИРОВАНИЕ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 t="n"/>
    </row>
    <row r="5" ht="22" customHeight="1">
      <c r="A5" s="10" t="inlineStr">
        <is>
          <t>1.1</t>
        </is>
      </c>
      <c r="B5" s="11" t="inlineStr">
        <is>
          <t>Анализ требований ТЗ, проектирование архитектуры</t>
        </is>
      </c>
      <c r="C5" s="12" t="inlineStr">
        <is>
          <t>M</t>
        </is>
      </c>
      <c r="D5" s="13" t="n">
        <v>20</v>
      </c>
      <c r="E5" s="13" t="n">
        <v>16</v>
      </c>
      <c r="F5" s="13" t="inlineStr"/>
      <c r="G5" s="13" t="inlineStr"/>
      <c r="H5" s="13" t="n">
        <v>12</v>
      </c>
      <c r="I5" s="13" t="inlineStr"/>
      <c r="J5" s="10">
        <f>SUM(D5:I5)</f>
        <v/>
      </c>
      <c r="K5" s="14">
        <f>J5*$N$2</f>
        <v/>
      </c>
      <c r="L5" s="15" t="inlineStr">
        <is>
          <t>Модульная архитектура: ASR→NMT→TTS pipeline</t>
        </is>
      </c>
    </row>
    <row r="6" ht="22" customHeight="1">
      <c r="A6" s="16" t="inlineStr">
        <is>
          <t>1.2</t>
        </is>
      </c>
      <c r="B6" s="17" t="inlineStr">
        <is>
          <t>Проектирование API-контрактов (streaming + REST)</t>
        </is>
      </c>
      <c r="C6" s="18" t="inlineStr">
        <is>
          <t>M</t>
        </is>
      </c>
      <c r="D6" s="19" t="n">
        <v>16</v>
      </c>
      <c r="E6" s="19" t="n">
        <v>24</v>
      </c>
      <c r="F6" s="19" t="n">
        <v>8</v>
      </c>
      <c r="G6" s="19" t="inlineStr"/>
      <c r="H6" s="19" t="n">
        <v>4</v>
      </c>
      <c r="I6" s="19" t="inlineStr"/>
      <c r="J6" s="16">
        <f>SUM(D6:I6)</f>
        <v/>
      </c>
      <c r="K6" s="20">
        <f>J6*$N$2</f>
        <v/>
      </c>
      <c r="L6" s="21" t="inlineStr">
        <is>
          <t>WebSocket/WebRTC протоколы, REST для AdminPortal</t>
        </is>
      </c>
    </row>
    <row r="7" ht="22" customHeight="1">
      <c r="A7" s="10" t="inlineStr">
        <is>
          <t>1.3</t>
        </is>
      </c>
      <c r="B7" s="11" t="inlineStr">
        <is>
          <t>Проектирование БД (глоссарии, сессии, логи, аудит)</t>
        </is>
      </c>
      <c r="C7" s="12" t="inlineStr">
        <is>
          <t>M</t>
        </is>
      </c>
      <c r="D7" s="13" t="n">
        <v>12</v>
      </c>
      <c r="E7" s="13" t="n">
        <v>16</v>
      </c>
      <c r="F7" s="13" t="inlineStr"/>
      <c r="G7" s="13" t="inlineStr"/>
      <c r="H7" s="13" t="n">
        <v>4</v>
      </c>
      <c r="I7" s="13" t="inlineStr"/>
      <c r="J7" s="10">
        <f>SUM(D7:I7)</f>
        <v/>
      </c>
      <c r="K7" s="14">
        <f>J7*$N$2</f>
        <v/>
      </c>
      <c r="L7" s="15" t="inlineStr">
        <is>
          <t>PostgreSQL: glossary, sessions, audit_log, users</t>
        </is>
      </c>
    </row>
    <row r="8" ht="22" customHeight="1">
      <c r="A8" s="16" t="inlineStr">
        <is>
          <t>1.4</t>
        </is>
      </c>
      <c r="B8" s="17" t="inlineStr">
        <is>
          <t>Настройка проекта (CI/CD, Docker dev, lint)</t>
        </is>
      </c>
      <c r="C8" s="18" t="inlineStr">
        <is>
          <t>M</t>
        </is>
      </c>
      <c r="D8" s="19" t="inlineStr"/>
      <c r="E8" s="19" t="n">
        <v>8</v>
      </c>
      <c r="F8" s="19" t="n">
        <v>8</v>
      </c>
      <c r="G8" s="19" t="inlineStr"/>
      <c r="H8" s="19" t="n">
        <v>4</v>
      </c>
      <c r="I8" s="19" t="n">
        <v>16</v>
      </c>
      <c r="J8" s="16">
        <f>SUM(D8:I8)</f>
        <v/>
      </c>
      <c r="K8" s="20">
        <f>J8*$N$2</f>
        <v/>
      </c>
      <c r="L8" s="21" t="inlineStr">
        <is>
          <t>Docker Compose для dev, pre-commit hooks</t>
        </is>
      </c>
    </row>
    <row r="9" ht="22" customHeight="1">
      <c r="A9" s="6" t="inlineStr"/>
      <c r="B9" s="7" t="inlineStr">
        <is>
          <t>VOICECORE™ ASR ENGINE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 t="n"/>
    </row>
    <row r="10" ht="22" customHeight="1">
      <c r="A10" s="16" t="inlineStr">
        <is>
          <t>2.1</t>
        </is>
      </c>
      <c r="B10" s="17" t="inlineStr">
        <is>
          <t>Интеграция streaming ASR (Whisper / faster-whisper)</t>
        </is>
      </c>
      <c r="C10" s="18" t="inlineStr">
        <is>
          <t>M</t>
        </is>
      </c>
      <c r="D10" s="19" t="n">
        <v>8</v>
      </c>
      <c r="E10" s="19" t="n">
        <v>60</v>
      </c>
      <c r="F10" s="19" t="inlineStr"/>
      <c r="G10" s="19" t="n">
        <v>16</v>
      </c>
      <c r="H10" s="19" t="n">
        <v>4</v>
      </c>
      <c r="I10" s="19" t="n">
        <v>8</v>
      </c>
      <c r="J10" s="16">
        <f>SUM(D10:I10)</f>
        <v/>
      </c>
      <c r="K10" s="20">
        <f>J10*$N$2</f>
        <v/>
      </c>
      <c r="L10" s="21" t="inlineStr">
        <is>
          <t>Real-time inference, GPU оптимизация</t>
        </is>
      </c>
    </row>
    <row r="11" ht="22" customHeight="1">
      <c r="A11" s="10" t="inlineStr">
        <is>
          <t>2.2</t>
        </is>
      </c>
      <c r="B11" s="11" t="inlineStr">
        <is>
          <t>SmartPause™ — детекция пауз и сегментация речи</t>
        </is>
      </c>
      <c r="C11" s="12" t="inlineStr">
        <is>
          <t>M</t>
        </is>
      </c>
      <c r="D11" s="13" t="n">
        <v>8</v>
      </c>
      <c r="E11" s="13" t="n">
        <v>40</v>
      </c>
      <c r="F11" s="13" t="inlineStr"/>
      <c r="G11" s="13" t="n">
        <v>16</v>
      </c>
      <c r="H11" s="13" t="n">
        <v>4</v>
      </c>
      <c r="I11" s="13" t="n">
        <v>4</v>
      </c>
      <c r="J11" s="10">
        <f>SUM(D11:I11)</f>
        <v/>
      </c>
      <c r="K11" s="14">
        <f>J11*$N$2</f>
        <v/>
      </c>
      <c r="L11" s="15" t="inlineStr">
        <is>
          <t>VAD + пороговая логика, буферизация</t>
        </is>
      </c>
    </row>
    <row r="12" ht="22" customHeight="1">
      <c r="A12" s="22" t="inlineStr">
        <is>
          <t>2.3</t>
        </is>
      </c>
      <c r="B12" s="23" t="inlineStr">
        <is>
          <t>Speaker adaptation / fine-tune (5 спикеров)</t>
        </is>
      </c>
      <c r="C12" s="24" t="inlineStr">
        <is>
          <t>S</t>
        </is>
      </c>
      <c r="D12" s="25" t="n">
        <v>8</v>
      </c>
      <c r="E12" s="25" t="n">
        <v>48</v>
      </c>
      <c r="F12" s="25" t="inlineStr"/>
      <c r="G12" s="25" t="n">
        <v>24</v>
      </c>
      <c r="H12" s="25" t="n">
        <v>4</v>
      </c>
      <c r="I12" s="25" t="n">
        <v>8</v>
      </c>
      <c r="J12" s="22">
        <f>SUM(D12:I12)</f>
        <v/>
      </c>
      <c r="K12" s="26">
        <f>J12*$N$2</f>
        <v/>
      </c>
      <c r="L12" s="27" t="inlineStr">
        <is>
          <t>⚠ Кол-во спикеров не определено, буфер на 5</t>
        </is>
      </c>
    </row>
    <row r="13" ht="22" customHeight="1">
      <c r="A13" s="10" t="inlineStr">
        <is>
          <t>2.4</t>
        </is>
      </c>
      <c r="B13" s="11" t="inlineStr">
        <is>
          <t>Языковые модели EN, RU, HI</t>
        </is>
      </c>
      <c r="C13" s="12" t="inlineStr">
        <is>
          <t>M</t>
        </is>
      </c>
      <c r="D13" s="13" t="n">
        <v>4</v>
      </c>
      <c r="E13" s="13" t="n">
        <v>24</v>
      </c>
      <c r="F13" s="13" t="inlineStr"/>
      <c r="G13" s="13" t="n">
        <v>16</v>
      </c>
      <c r="H13" s="13" t="n">
        <v>4</v>
      </c>
      <c r="I13" s="13" t="n">
        <v>4</v>
      </c>
      <c r="J13" s="10">
        <f>SUM(D13:I13)</f>
        <v/>
      </c>
      <c r="K13" s="14">
        <f>J13*$N$2</f>
        <v/>
      </c>
      <c r="L13" s="15" t="inlineStr">
        <is>
          <t>Загрузка, тест, калибровка по каждому языку</t>
        </is>
      </c>
    </row>
    <row r="14" ht="22" customHeight="1">
      <c r="A14" s="6" t="inlineStr"/>
      <c r="B14" s="7" t="inlineStr">
        <is>
          <t>NEUROTRANSLATE™ NMT MODULE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 t="n"/>
    </row>
    <row r="15" ht="22" customHeight="1">
      <c r="A15" s="10" t="inlineStr">
        <is>
          <t>3.1</t>
        </is>
      </c>
      <c r="B15" s="11" t="inlineStr">
        <is>
          <t>Интеграция SeamlessM4T / NLLB</t>
        </is>
      </c>
      <c r="C15" s="12" t="inlineStr">
        <is>
          <t>M</t>
        </is>
      </c>
      <c r="D15" s="13" t="n">
        <v>16</v>
      </c>
      <c r="E15" s="13" t="n">
        <v>40</v>
      </c>
      <c r="F15" s="13" t="inlineStr"/>
      <c r="G15" s="13" t="inlineStr"/>
      <c r="H15" s="13" t="n">
        <v>8</v>
      </c>
      <c r="I15" s="13" t="n">
        <v>8</v>
      </c>
      <c r="J15" s="10">
        <f>SUM(D15:I15)</f>
        <v/>
      </c>
      <c r="K15" s="14">
        <f>J15*$N$2</f>
        <v/>
      </c>
      <c r="L15" s="15" t="inlineStr">
        <is>
          <t>Encoder-decoder, выбор модели, бенчмарк</t>
        </is>
      </c>
    </row>
    <row r="16" ht="22" customHeight="1">
      <c r="A16" s="16" t="inlineStr">
        <is>
          <t>3.2</t>
        </is>
      </c>
      <c r="B16" s="17" t="inlineStr">
        <is>
          <t>Streaming mode с partial results</t>
        </is>
      </c>
      <c r="C16" s="18" t="inlineStr">
        <is>
          <t>M</t>
        </is>
      </c>
      <c r="D16" s="19" t="n">
        <v>8</v>
      </c>
      <c r="E16" s="19" t="n">
        <v>48</v>
      </c>
      <c r="F16" s="19" t="inlineStr"/>
      <c r="G16" s="19" t="n">
        <v>24</v>
      </c>
      <c r="H16" s="19" t="n">
        <v>4</v>
      </c>
      <c r="I16" s="19" t="n">
        <v>8</v>
      </c>
      <c r="J16" s="16">
        <f>SUM(D16:I16)</f>
        <v/>
      </c>
      <c r="K16" s="20">
        <f>J16*$N$2</f>
        <v/>
      </c>
      <c r="L16" s="21" t="inlineStr">
        <is>
          <t>Инкрементальный перевод для &lt;2 сек latency</t>
        </is>
      </c>
    </row>
    <row r="17" ht="22" customHeight="1">
      <c r="A17" s="10" t="inlineStr">
        <is>
          <t>3.3</t>
        </is>
      </c>
      <c r="B17" s="11" t="inlineStr">
        <is>
          <t>Интеграция с GlossaryAI™ — приоритет терминов</t>
        </is>
      </c>
      <c r="C17" s="12" t="inlineStr">
        <is>
          <t>M</t>
        </is>
      </c>
      <c r="D17" s="13" t="n">
        <v>12</v>
      </c>
      <c r="E17" s="13" t="n">
        <v>60</v>
      </c>
      <c r="F17" s="13" t="inlineStr"/>
      <c r="G17" s="13" t="n">
        <v>24</v>
      </c>
      <c r="H17" s="13" t="n">
        <v>4</v>
      </c>
      <c r="I17" s="13" t="n">
        <v>4</v>
      </c>
      <c r="J17" s="10">
        <f>SUM(D17:I17)</f>
        <v/>
      </c>
      <c r="K17" s="14">
        <f>J17*$N$2</f>
        <v/>
      </c>
      <c r="L17" s="15" t="inlineStr">
        <is>
          <t>Constrained decoding / post-processing терминов</t>
        </is>
      </c>
    </row>
    <row r="18" ht="22" customHeight="1">
      <c r="A18" s="16" t="inlineStr">
        <is>
          <t>3.4</t>
        </is>
      </c>
      <c r="B18" s="17" t="inlineStr">
        <is>
          <t>Контекстное окно 512 токенов</t>
        </is>
      </c>
      <c r="C18" s="18" t="inlineStr">
        <is>
          <t>M</t>
        </is>
      </c>
      <c r="D18" s="19" t="n">
        <v>4</v>
      </c>
      <c r="E18" s="19" t="n">
        <v>32</v>
      </c>
      <c r="F18" s="19" t="inlineStr"/>
      <c r="G18" s="19" t="n">
        <v>16</v>
      </c>
      <c r="H18" s="19" t="n">
        <v>4</v>
      </c>
      <c r="I18" s="19" t="n">
        <v>4</v>
      </c>
      <c r="J18" s="16">
        <f>SUM(D18:I18)</f>
        <v/>
      </c>
      <c r="K18" s="20">
        <f>J18*$N$2</f>
        <v/>
      </c>
      <c r="L18" s="21" t="inlineStr">
        <is>
          <t>Скользящее окно, кеширование контекста</t>
        </is>
      </c>
    </row>
    <row r="19" ht="22" customHeight="1">
      <c r="A19" s="22" t="inlineStr">
        <is>
          <t>3.5</t>
        </is>
      </c>
      <c r="B19" s="23" t="inlineStr">
        <is>
          <t>200+ языковых пар (zero-shot для редких)</t>
        </is>
      </c>
      <c r="C19" s="24" t="inlineStr">
        <is>
          <t>S</t>
        </is>
      </c>
      <c r="D19" s="25" t="n">
        <v>8</v>
      </c>
      <c r="E19" s="25" t="n">
        <v>40</v>
      </c>
      <c r="F19" s="25" t="inlineStr"/>
      <c r="G19" s="25" t="n">
        <v>32</v>
      </c>
      <c r="H19" s="25" t="n">
        <v>4</v>
      </c>
      <c r="I19" s="25" t="n">
        <v>4</v>
      </c>
      <c r="J19" s="22">
        <f>SUM(D19:I19)</f>
        <v/>
      </c>
      <c r="K19" s="26">
        <f>J19*$N$2</f>
        <v/>
      </c>
      <c r="L19" s="27" t="inlineStr">
        <is>
          <t>⚠ Качество неравномерное, гарантия на EN↔RU/HI</t>
        </is>
      </c>
    </row>
    <row r="20" ht="22" customHeight="1">
      <c r="A20" s="6" t="inlineStr"/>
      <c r="B20" s="7" t="inlineStr">
        <is>
          <t>VOICESYNTH™ TTS ENGINE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</row>
    <row r="21" ht="22" customHeight="1">
      <c r="A21" s="10" t="inlineStr">
        <is>
          <t>4.1</t>
        </is>
      </c>
      <c r="B21" s="11" t="inlineStr">
        <is>
          <t>Интеграция нейросетевого TTS (Coqui/XTTS)</t>
        </is>
      </c>
      <c r="C21" s="12" t="inlineStr">
        <is>
          <t>M</t>
        </is>
      </c>
      <c r="D21" s="13" t="n">
        <v>12</v>
      </c>
      <c r="E21" s="13" t="n">
        <v>40</v>
      </c>
      <c r="F21" s="13" t="inlineStr"/>
      <c r="G21" s="13" t="inlineStr"/>
      <c r="H21" s="13" t="n">
        <v>8</v>
      </c>
      <c r="I21" s="13" t="n">
        <v>8</v>
      </c>
      <c r="J21" s="10">
        <f>SUM(D21:I21)</f>
        <v/>
      </c>
      <c r="K21" s="14">
        <f>J21*$N$2</f>
        <v/>
      </c>
      <c r="L21" s="15" t="inlineStr">
        <is>
          <t>Выбор модели, бенчмарк MOS &gt;4.0</t>
        </is>
      </c>
    </row>
    <row r="22" ht="22" customHeight="1">
      <c r="A22" s="16" t="inlineStr">
        <is>
          <t>4.2</t>
        </is>
      </c>
      <c r="B22" s="17" t="inlineStr">
        <is>
          <t>Streaming mode (~600ms latency)</t>
        </is>
      </c>
      <c r="C22" s="18" t="inlineStr">
        <is>
          <t>M</t>
        </is>
      </c>
      <c r="D22" s="19" t="n">
        <v>4</v>
      </c>
      <c r="E22" s="19" t="n">
        <v>48</v>
      </c>
      <c r="F22" s="19" t="inlineStr"/>
      <c r="G22" s="19" t="n">
        <v>24</v>
      </c>
      <c r="H22" s="19" t="n">
        <v>4</v>
      </c>
      <c r="I22" s="19" t="n">
        <v>8</v>
      </c>
      <c r="J22" s="16">
        <f>SUM(D22:I22)</f>
        <v/>
      </c>
      <c r="K22" s="20">
        <f>J22*$N$2</f>
        <v/>
      </c>
      <c r="L22" s="21" t="inlineStr">
        <is>
          <t>Chunk-based генерация, буферизация</t>
        </is>
      </c>
    </row>
    <row r="23" ht="22" customHeight="1">
      <c r="A23" s="10" t="inlineStr">
        <is>
          <t>4.3</t>
        </is>
      </c>
      <c r="B23" s="11" t="inlineStr">
        <is>
          <t>Подбор и настройка голосов (MOS &gt;4.0)</t>
        </is>
      </c>
      <c r="C23" s="12" t="inlineStr">
        <is>
          <t>M</t>
        </is>
      </c>
      <c r="D23" s="13" t="n">
        <v>8</v>
      </c>
      <c r="E23" s="13" t="n">
        <v>60</v>
      </c>
      <c r="F23" s="13" t="inlineStr"/>
      <c r="G23" s="13" t="n">
        <v>32</v>
      </c>
      <c r="H23" s="13" t="n">
        <v>4</v>
      </c>
      <c r="I23" s="13" t="n">
        <v>4</v>
      </c>
      <c r="J23" s="10">
        <f>SUM(D23:I23)</f>
        <v/>
      </c>
      <c r="K23" s="14">
        <f>J23*$N$2</f>
        <v/>
      </c>
      <c r="L23" s="15" t="inlineStr">
        <is>
          <t>A/B тестирование голосов, субъективная оценка</t>
        </is>
      </c>
    </row>
    <row r="24" ht="22" customHeight="1">
      <c r="A24" s="16" t="inlineStr">
        <is>
          <t>4.4</t>
        </is>
      </c>
      <c r="B24" s="17" t="inlineStr">
        <is>
          <t>Premium голоса — расширенный пакет</t>
        </is>
      </c>
      <c r="C24" s="28" t="inlineStr">
        <is>
          <t>C</t>
        </is>
      </c>
      <c r="D24" s="19" t="n">
        <v>4</v>
      </c>
      <c r="E24" s="19" t="n">
        <v>24</v>
      </c>
      <c r="F24" s="19" t="inlineStr"/>
      <c r="G24" s="19" t="n">
        <v>16</v>
      </c>
      <c r="H24" s="19" t="n">
        <v>4</v>
      </c>
      <c r="I24" s="19" t="n">
        <v>4</v>
      </c>
      <c r="J24" s="16">
        <f>SUM(D24:I24)</f>
        <v/>
      </c>
      <c r="K24" s="20">
        <f>J24*$N$2</f>
        <v/>
      </c>
      <c r="L24" s="21" t="inlineStr">
        <is>
          <t>Опциональный модуль</t>
        </is>
      </c>
    </row>
    <row r="25" ht="22" customHeight="1">
      <c r="A25" s="6" t="inlineStr"/>
      <c r="B25" s="7" t="inlineStr">
        <is>
          <t>STREAMORCHESTRATOR™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 t="n"/>
    </row>
    <row r="26" ht="22" customHeight="1">
      <c r="A26" s="16" t="inlineStr">
        <is>
          <t>5.1</t>
        </is>
      </c>
      <c r="B26" s="17" t="inlineStr">
        <is>
          <t>WebSocket / WebRTC оркестрация потоков</t>
        </is>
      </c>
      <c r="C26" s="18" t="inlineStr">
        <is>
          <t>M</t>
        </is>
      </c>
      <c r="D26" s="19" t="n">
        <v>12</v>
      </c>
      <c r="E26" s="19" t="n">
        <v>80</v>
      </c>
      <c r="F26" s="19" t="inlineStr"/>
      <c r="G26" s="19" t="n">
        <v>32</v>
      </c>
      <c r="H26" s="19" t="n">
        <v>8</v>
      </c>
      <c r="I26" s="19" t="n">
        <v>16</v>
      </c>
      <c r="J26" s="16">
        <f>SUM(D26:I26)</f>
        <v/>
      </c>
      <c r="K26" s="20">
        <f>J26*$N$2</f>
        <v/>
      </c>
      <c r="L26" s="21" t="inlineStr">
        <is>
          <t>Основной pipeline: аудиовход→ASR→NMT→TTS→аудиовыход</t>
        </is>
      </c>
    </row>
    <row r="27" ht="22" customHeight="1">
      <c r="A27" s="10" t="inlineStr">
        <is>
          <t>5.2</t>
        </is>
      </c>
      <c r="B27" s="11" t="inlineStr">
        <is>
          <t>Pipeline управление (ASR→NMT→TTS chain)</t>
        </is>
      </c>
      <c r="C27" s="12" t="inlineStr">
        <is>
          <t>M</t>
        </is>
      </c>
      <c r="D27" s="13" t="n">
        <v>8</v>
      </c>
      <c r="E27" s="13" t="n">
        <v>60</v>
      </c>
      <c r="F27" s="13" t="inlineStr"/>
      <c r="G27" s="13" t="n">
        <v>24</v>
      </c>
      <c r="H27" s="13" t="n">
        <v>4</v>
      </c>
      <c r="I27" s="13" t="n">
        <v>8</v>
      </c>
      <c r="J27" s="10">
        <f>SUM(D27:I27)</f>
        <v/>
      </c>
      <c r="K27" s="14">
        <f>J27*$N$2</f>
        <v/>
      </c>
      <c r="L27" s="15" t="inlineStr">
        <is>
          <t>Очередь, backpressure, graceful degradation</t>
        </is>
      </c>
    </row>
    <row r="28" ht="22" customHeight="1">
      <c r="A28" s="16" t="inlineStr">
        <is>
          <t>5.3</t>
        </is>
      </c>
      <c r="B28" s="17" t="inlineStr">
        <is>
          <t>Параллельная обработка 2 аудиопотоков</t>
        </is>
      </c>
      <c r="C28" s="18" t="inlineStr">
        <is>
          <t>M</t>
        </is>
      </c>
      <c r="D28" s="19" t="n">
        <v>4</v>
      </c>
      <c r="E28" s="19" t="n">
        <v>40</v>
      </c>
      <c r="F28" s="19" t="inlineStr"/>
      <c r="G28" s="19" t="n">
        <v>24</v>
      </c>
      <c r="H28" s="19" t="n">
        <v>4</v>
      </c>
      <c r="I28" s="19" t="n">
        <v>8</v>
      </c>
      <c r="J28" s="16">
        <f>SUM(D28:I28)</f>
        <v/>
      </c>
      <c r="K28" s="20">
        <f>J28*$N$2</f>
        <v/>
      </c>
      <c r="L28" s="21" t="inlineStr">
        <is>
          <t>Thread/process pool, распределение GPU</t>
        </is>
      </c>
    </row>
    <row r="29" ht="22" customHeight="1">
      <c r="A29" s="10" t="inlineStr">
        <is>
          <t>5.4</t>
        </is>
      </c>
      <c r="B29" s="11" t="inlineStr">
        <is>
          <t>Мониторинг latency, автоматический fallback</t>
        </is>
      </c>
      <c r="C29" s="29" t="inlineStr">
        <is>
          <t>S</t>
        </is>
      </c>
      <c r="D29" s="13" t="n">
        <v>4</v>
      </c>
      <c r="E29" s="13" t="n">
        <v>32</v>
      </c>
      <c r="F29" s="13" t="inlineStr"/>
      <c r="G29" s="13" t="n">
        <v>16</v>
      </c>
      <c r="H29" s="13" t="n">
        <v>4</v>
      </c>
      <c r="I29" s="13" t="n">
        <v>8</v>
      </c>
      <c r="J29" s="10">
        <f>SUM(D29:I29)</f>
        <v/>
      </c>
      <c r="K29" s="14">
        <f>J29*$N$2</f>
        <v/>
      </c>
      <c r="L29" s="15" t="inlineStr">
        <is>
          <t>Prometheus метрики, алерты &gt;2 сек</t>
        </is>
      </c>
    </row>
    <row r="30" ht="22" customHeight="1">
      <c r="A30" s="6" t="inlineStr"/>
      <c r="B30" s="7" t="inlineStr">
        <is>
          <t>GLOSSARYAI™ (&gt;2000 ЗАПИСЕЙ)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</row>
    <row r="31" ht="22" customHeight="1">
      <c r="A31" s="10" t="inlineStr">
        <is>
          <t>6.1</t>
        </is>
      </c>
      <c r="B31" s="11" t="inlineStr">
        <is>
          <t>CRUD глоссариев — импорт Excel, CSV, TBX</t>
        </is>
      </c>
      <c r="C31" s="12" t="inlineStr">
        <is>
          <t>M</t>
        </is>
      </c>
      <c r="D31" s="13" t="n">
        <v>12</v>
      </c>
      <c r="E31" s="13" t="n">
        <v>32</v>
      </c>
      <c r="F31" s="13" t="n">
        <v>16</v>
      </c>
      <c r="G31" s="13" t="n">
        <v>20</v>
      </c>
      <c r="H31" s="13" t="n">
        <v>4</v>
      </c>
      <c r="I31" s="13" t="n">
        <v>4</v>
      </c>
      <c r="J31" s="10">
        <f>SUM(D31:I31)</f>
        <v/>
      </c>
      <c r="K31" s="14">
        <f>J31*$N$2</f>
        <v/>
      </c>
      <c r="L31" s="15" t="inlineStr">
        <is>
          <t>Парсинг, валидация, дедупликация</t>
        </is>
      </c>
    </row>
    <row r="32" ht="22" customHeight="1">
      <c r="A32" s="16" t="inlineStr">
        <is>
          <t>6.2</t>
        </is>
      </c>
      <c r="B32" s="17" t="inlineStr">
        <is>
          <t>Извлечение терминов из PDF (NER/regex)</t>
        </is>
      </c>
      <c r="C32" s="30" t="inlineStr">
        <is>
          <t>S</t>
        </is>
      </c>
      <c r="D32" s="19" t="n">
        <v>8</v>
      </c>
      <c r="E32" s="19" t="n">
        <v>60</v>
      </c>
      <c r="F32" s="19" t="inlineStr"/>
      <c r="G32" s="19" t="n">
        <v>24</v>
      </c>
      <c r="H32" s="19" t="n">
        <v>4</v>
      </c>
      <c r="I32" s="19" t="n">
        <v>4</v>
      </c>
      <c r="J32" s="16">
        <f>SUM(D32:I32)</f>
        <v/>
      </c>
      <c r="K32" s="20">
        <f>J32*$N$2</f>
        <v/>
      </c>
      <c r="L32" s="21" t="inlineStr">
        <is>
          <t>PyMuPDF + SpaCy NER для хим. соединений</t>
        </is>
      </c>
    </row>
    <row r="33" ht="22" customHeight="1">
      <c r="A33" s="10" t="inlineStr">
        <is>
          <t>6.3</t>
        </is>
      </c>
      <c r="B33" s="11" t="inlineStr">
        <is>
          <t>Фонетические транскрипции для TTS</t>
        </is>
      </c>
      <c r="C33" s="12" t="inlineStr">
        <is>
          <t>M</t>
        </is>
      </c>
      <c r="D33" s="13" t="n">
        <v>4</v>
      </c>
      <c r="E33" s="13" t="n">
        <v>32</v>
      </c>
      <c r="F33" s="13" t="inlineStr"/>
      <c r="G33" s="13" t="n">
        <v>16</v>
      </c>
      <c r="H33" s="13" t="n">
        <v>4</v>
      </c>
      <c r="I33" s="13" t="inlineStr"/>
      <c r="J33" s="10">
        <f>SUM(D33:I33)</f>
        <v/>
      </c>
      <c r="K33" s="14">
        <f>J33*$N$2</f>
        <v/>
      </c>
      <c r="L33" s="15" t="inlineStr">
        <is>
          <t>IPA генерация, интеграция с VoiceSynth</t>
        </is>
      </c>
    </row>
    <row r="34" ht="22" customHeight="1">
      <c r="A34" s="16" t="inlineStr">
        <is>
          <t>6.4</t>
        </is>
      </c>
      <c r="B34" s="17" t="inlineStr">
        <is>
          <t>Версионирование, правила «не переводить»</t>
        </is>
      </c>
      <c r="C34" s="18" t="inlineStr">
        <is>
          <t>M</t>
        </is>
      </c>
      <c r="D34" s="19" t="n">
        <v>8</v>
      </c>
      <c r="E34" s="19" t="n">
        <v>32</v>
      </c>
      <c r="F34" s="19" t="n">
        <v>8</v>
      </c>
      <c r="G34" s="19" t="n">
        <v>16</v>
      </c>
      <c r="H34" s="19" t="n">
        <v>4</v>
      </c>
      <c r="I34" s="19" t="n">
        <v>4</v>
      </c>
      <c r="J34" s="16">
        <f>SUM(D34:I34)</f>
        <v/>
      </c>
      <c r="K34" s="20">
        <f>J34*$N$2</f>
        <v/>
      </c>
      <c r="L34" s="21" t="inlineStr">
        <is>
          <t>Git-like версионирование, whitelist кодов</t>
        </is>
      </c>
    </row>
    <row r="35" ht="22" customHeight="1">
      <c r="A35" s="22" t="inlineStr">
        <is>
          <t>6.5</t>
        </is>
      </c>
      <c r="B35" s="23" t="inlineStr">
        <is>
          <t>Валидация глоссария &gt;2000 записей</t>
        </is>
      </c>
      <c r="C35" s="31" t="inlineStr">
        <is>
          <t>M</t>
        </is>
      </c>
      <c r="D35" s="25" t="n">
        <v>8</v>
      </c>
      <c r="E35" s="25" t="inlineStr"/>
      <c r="F35" s="25" t="inlineStr"/>
      <c r="G35" s="25" t="n">
        <v>32</v>
      </c>
      <c r="H35" s="25" t="n">
        <v>4</v>
      </c>
      <c r="I35" s="25" t="inlineStr"/>
      <c r="J35" s="22">
        <f>SUM(D35:I35)</f>
        <v/>
      </c>
      <c r="K35" s="26">
        <f>J35*$N$2</f>
        <v/>
      </c>
      <c r="L35" s="27" t="inlineStr">
        <is>
          <t>⚠ Большой объём, ручная + автоматическая проверка</t>
        </is>
      </c>
    </row>
    <row r="36" ht="22" customHeight="1">
      <c r="A36" s="6" t="inlineStr"/>
      <c r="B36" s="7" t="inlineStr">
        <is>
          <t>SYNCBRIDGE™ (ИНТЕГРАЦИЯ ВКС)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 t="n"/>
    </row>
    <row r="37" ht="22" customHeight="1">
      <c r="A37" s="22" t="inlineStr">
        <is>
          <t>7.1</t>
        </is>
      </c>
      <c r="B37" s="23" t="inlineStr">
        <is>
          <t>Zoom Language Interpretation API</t>
        </is>
      </c>
      <c r="C37" s="31" t="inlineStr">
        <is>
          <t>M</t>
        </is>
      </c>
      <c r="D37" s="25" t="n">
        <v>12</v>
      </c>
      <c r="E37" s="25" t="n">
        <v>80</v>
      </c>
      <c r="F37" s="25" t="inlineStr"/>
      <c r="G37" s="25" t="n">
        <v>40</v>
      </c>
      <c r="H37" s="25" t="n">
        <v>8</v>
      </c>
      <c r="I37" s="25" t="n">
        <v>12</v>
      </c>
      <c r="J37" s="22">
        <f>SUM(D37:I37)</f>
        <v/>
      </c>
      <c r="K37" s="26">
        <f>J37*$N$2</f>
        <v/>
      </c>
      <c r="L37" s="27" t="inlineStr">
        <is>
          <t>⚠ API может иметь ограничения, буфер на workaround</t>
        </is>
      </c>
    </row>
    <row r="38" ht="22" customHeight="1">
      <c r="A38" s="22" t="inlineStr">
        <is>
          <t>7.2</t>
        </is>
      </c>
      <c r="B38" s="23" t="inlineStr">
        <is>
          <t>Microsoft Teams Audio API</t>
        </is>
      </c>
      <c r="C38" s="31" t="inlineStr">
        <is>
          <t>M</t>
        </is>
      </c>
      <c r="D38" s="25" t="n">
        <v>12</v>
      </c>
      <c r="E38" s="25" t="n">
        <v>80</v>
      </c>
      <c r="F38" s="25" t="inlineStr"/>
      <c r="G38" s="25" t="n">
        <v>40</v>
      </c>
      <c r="H38" s="25" t="n">
        <v>8</v>
      </c>
      <c r="I38" s="25" t="n">
        <v>12</v>
      </c>
      <c r="J38" s="22">
        <f>SUM(D38:I38)</f>
        <v/>
      </c>
      <c r="K38" s="26">
        <f>J38*$N$2</f>
        <v/>
      </c>
      <c r="L38" s="27" t="inlineStr">
        <is>
          <t>⚠ Аналогично, Teams API менее зрелый</t>
        </is>
      </c>
    </row>
    <row r="39" ht="22" customHeight="1">
      <c r="A39" s="10" t="inlineStr">
        <is>
          <t>7.3</t>
        </is>
      </c>
      <c r="B39" s="11" t="inlineStr">
        <is>
          <t>Управление аудиоканалами + маршрутизация</t>
        </is>
      </c>
      <c r="C39" s="12" t="inlineStr">
        <is>
          <t>M</t>
        </is>
      </c>
      <c r="D39" s="13" t="n">
        <v>8</v>
      </c>
      <c r="E39" s="13" t="n">
        <v>40</v>
      </c>
      <c r="F39" s="13" t="inlineStr"/>
      <c r="G39" s="13" t="n">
        <v>24</v>
      </c>
      <c r="H39" s="13" t="n">
        <v>4</v>
      </c>
      <c r="I39" s="13" t="n">
        <v>8</v>
      </c>
      <c r="J39" s="10">
        <f>SUM(D39:I39)</f>
        <v/>
      </c>
      <c r="K39" s="14">
        <f>J39*$N$2</f>
        <v/>
      </c>
      <c r="L39" s="15" t="inlineStr">
        <is>
          <t>Микширование, громкость оригинала, переключение</t>
        </is>
      </c>
    </row>
    <row r="40" ht="22" customHeight="1">
      <c r="A40" s="6" t="inlineStr"/>
      <c r="B40" s="7" t="inlineStr">
        <is>
          <t>ADMINPORTAL™ (ВЕБ-ИНТЕРФЕЙС)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 t="n"/>
    </row>
    <row r="41" ht="22" customHeight="1">
      <c r="A41" s="10" t="inlineStr">
        <is>
          <t>8.1</t>
        </is>
      </c>
      <c r="B41" s="11" t="inlineStr">
        <is>
          <t>Dashboard мониторинга в реальном времени</t>
        </is>
      </c>
      <c r="C41" s="12" t="inlineStr">
        <is>
          <t>M</t>
        </is>
      </c>
      <c r="D41" s="13" t="n">
        <v>8</v>
      </c>
      <c r="E41" s="13" t="n">
        <v>16</v>
      </c>
      <c r="F41" s="13" t="n">
        <v>48</v>
      </c>
      <c r="G41" s="13" t="n">
        <v>24</v>
      </c>
      <c r="H41" s="13" t="n">
        <v>4</v>
      </c>
      <c r="I41" s="13" t="n">
        <v>4</v>
      </c>
      <c r="J41" s="10">
        <f>SUM(D41:I41)</f>
        <v/>
      </c>
      <c r="K41" s="14">
        <f>J41*$N$2</f>
        <v/>
      </c>
      <c r="L41" s="15" t="inlineStr">
        <is>
          <t>WebSocket обновления, графики latency/нагрузки</t>
        </is>
      </c>
    </row>
    <row r="42" ht="22" customHeight="1">
      <c r="A42" s="16" t="inlineStr">
        <is>
          <t>8.2</t>
        </is>
      </c>
      <c r="B42" s="17" t="inlineStr">
        <is>
          <t>Управление активными сессиями перевода</t>
        </is>
      </c>
      <c r="C42" s="18" t="inlineStr">
        <is>
          <t>M</t>
        </is>
      </c>
      <c r="D42" s="19" t="n">
        <v>8</v>
      </c>
      <c r="E42" s="19" t="n">
        <v>16</v>
      </c>
      <c r="F42" s="19" t="n">
        <v>40</v>
      </c>
      <c r="G42" s="19" t="n">
        <v>20</v>
      </c>
      <c r="H42" s="19" t="n">
        <v>4</v>
      </c>
      <c r="I42" s="19" t="n">
        <v>4</v>
      </c>
      <c r="J42" s="16">
        <f>SUM(D42:I42)</f>
        <v/>
      </c>
      <c r="K42" s="20">
        <f>J42*$N$2</f>
        <v/>
      </c>
      <c r="L42" s="21" t="inlineStr">
        <is>
          <t>Старт/стоп, просмотр статуса, ручное переключение</t>
        </is>
      </c>
    </row>
    <row r="43" ht="22" customHeight="1">
      <c r="A43" s="10" t="inlineStr">
        <is>
          <t>8.3</t>
        </is>
      </c>
      <c r="B43" s="11" t="inlineStr">
        <is>
          <t>Управление глоссариями (UI)</t>
        </is>
      </c>
      <c r="C43" s="12" t="inlineStr">
        <is>
          <t>M</t>
        </is>
      </c>
      <c r="D43" s="13" t="n">
        <v>8</v>
      </c>
      <c r="E43" s="13" t="n">
        <v>8</v>
      </c>
      <c r="F43" s="13" t="n">
        <v>40</v>
      </c>
      <c r="G43" s="13" t="n">
        <v>20</v>
      </c>
      <c r="H43" s="13" t="n">
        <v>4</v>
      </c>
      <c r="I43" s="13" t="n">
        <v>4</v>
      </c>
      <c r="J43" s="10">
        <f>SUM(D43:I43)</f>
        <v/>
      </c>
      <c r="K43" s="14">
        <f>J43*$N$2</f>
        <v/>
      </c>
      <c r="L43" s="15" t="inlineStr">
        <is>
          <t>Редактирование, импорт, предпросмотр</t>
        </is>
      </c>
    </row>
    <row r="44" ht="22" customHeight="1">
      <c r="A44" s="16" t="inlineStr">
        <is>
          <t>8.4</t>
        </is>
      </c>
      <c r="B44" s="17" t="inlineStr">
        <is>
          <t>Логи, статистика использования</t>
        </is>
      </c>
      <c r="C44" s="30" t="inlineStr">
        <is>
          <t>S</t>
        </is>
      </c>
      <c r="D44" s="19" t="n">
        <v>4</v>
      </c>
      <c r="E44" s="19" t="n">
        <v>12</v>
      </c>
      <c r="F44" s="19" t="n">
        <v>24</v>
      </c>
      <c r="G44" s="19" t="n">
        <v>16</v>
      </c>
      <c r="H44" s="19" t="n">
        <v>4</v>
      </c>
      <c r="I44" s="19" t="n">
        <v>4</v>
      </c>
      <c r="J44" s="16">
        <f>SUM(D44:I44)</f>
        <v/>
      </c>
      <c r="K44" s="20">
        <f>J44*$N$2</f>
        <v/>
      </c>
      <c r="L44" s="21" t="inlineStr">
        <is>
          <t>Фильтрация, экспорт, графики за период</t>
        </is>
      </c>
    </row>
    <row r="45" ht="22" customHeight="1">
      <c r="A45" s="22" t="inlineStr">
        <is>
          <t>8.5</t>
        </is>
      </c>
      <c r="B45" s="23" t="inlineStr">
        <is>
          <t>Пользователи, роли, LDAP/AD + MFA</t>
        </is>
      </c>
      <c r="C45" s="31" t="inlineStr">
        <is>
          <t>M</t>
        </is>
      </c>
      <c r="D45" s="25" t="n">
        <v>12</v>
      </c>
      <c r="E45" s="25" t="n">
        <v>24</v>
      </c>
      <c r="F45" s="25" t="n">
        <v>40</v>
      </c>
      <c r="G45" s="25" t="n">
        <v>24</v>
      </c>
      <c r="H45" s="25" t="n">
        <v>4</v>
      </c>
      <c r="I45" s="25" t="n">
        <v>12</v>
      </c>
      <c r="J45" s="22">
        <f>SUM(D45:I45)</f>
        <v/>
      </c>
      <c r="K45" s="26">
        <f>J45*$N$2</f>
        <v/>
      </c>
      <c r="L45" s="27" t="inlineStr">
        <is>
          <t>⚠ Схема AD неизвестна, буфер</t>
        </is>
      </c>
    </row>
    <row r="46" ht="22" customHeight="1">
      <c r="A46" s="6" t="inlineStr"/>
      <c r="B46" s="7" t="inlineStr">
        <is>
          <t>БЕЗОПАСНОСТЬ И ИНФРАСТРУКТУРА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 t="n"/>
    </row>
    <row r="47" ht="22" customHeight="1">
      <c r="A47" s="10" t="inlineStr">
        <is>
          <t>9.1</t>
        </is>
      </c>
      <c r="B47" s="11" t="inlineStr">
        <is>
          <t>TLS 1.3 + AES-256 шифрование</t>
        </is>
      </c>
      <c r="C47" s="12" t="inlineStr">
        <is>
          <t>M</t>
        </is>
      </c>
      <c r="D47" s="13" t="n">
        <v>4</v>
      </c>
      <c r="E47" s="13" t="n">
        <v>40</v>
      </c>
      <c r="F47" s="13" t="inlineStr"/>
      <c r="G47" s="13" t="n">
        <v>24</v>
      </c>
      <c r="H47" s="13" t="n">
        <v>4</v>
      </c>
      <c r="I47" s="13" t="n">
        <v>16</v>
      </c>
      <c r="J47" s="10">
        <f>SUM(D47:I47)</f>
        <v/>
      </c>
      <c r="K47" s="14">
        <f>J47*$N$2</f>
        <v/>
      </c>
      <c r="L47" s="15" t="inlineStr">
        <is>
          <t>Шифрование данных at rest + in transit</t>
        </is>
      </c>
    </row>
    <row r="48" ht="22" customHeight="1">
      <c r="A48" s="22" t="inlineStr">
        <is>
          <t>9.2</t>
        </is>
      </c>
      <c r="B48" s="23" t="inlineStr">
        <is>
          <t>LDAP/AD бэкенд-интеграция + MFA</t>
        </is>
      </c>
      <c r="C48" s="31" t="inlineStr">
        <is>
          <t>M</t>
        </is>
      </c>
      <c r="D48" s="25" t="n">
        <v>8</v>
      </c>
      <c r="E48" s="25" t="n">
        <v>48</v>
      </c>
      <c r="F48" s="25" t="inlineStr"/>
      <c r="G48" s="25" t="n">
        <v>24</v>
      </c>
      <c r="H48" s="25" t="n">
        <v>4</v>
      </c>
      <c r="I48" s="25" t="n">
        <v>16</v>
      </c>
      <c r="J48" s="22">
        <f>SUM(D48:I48)</f>
        <v/>
      </c>
      <c r="K48" s="26">
        <f>J48*$N$2</f>
        <v/>
      </c>
      <c r="L48" s="27" t="inlineStr">
        <is>
          <t>⚠ Схема AD неизвестна</t>
        </is>
      </c>
    </row>
    <row r="49" ht="22" customHeight="1">
      <c r="A49" s="10" t="inlineStr">
        <is>
          <t>9.3</t>
        </is>
      </c>
      <c r="B49" s="11" t="inlineStr">
        <is>
          <t>Аудит-логирование для compliance</t>
        </is>
      </c>
      <c r="C49" s="12" t="inlineStr">
        <is>
          <t>M</t>
        </is>
      </c>
      <c r="D49" s="13" t="n">
        <v>8</v>
      </c>
      <c r="E49" s="13" t="n">
        <v>24</v>
      </c>
      <c r="F49" s="13" t="inlineStr"/>
      <c r="G49" s="13" t="n">
        <v>16</v>
      </c>
      <c r="H49" s="13" t="n">
        <v>4</v>
      </c>
      <c r="I49" s="13" t="n">
        <v>16</v>
      </c>
      <c r="J49" s="10">
        <f>SUM(D49:I49)</f>
        <v/>
      </c>
      <c r="K49" s="14">
        <f>J49*$N$2</f>
        <v/>
      </c>
      <c r="L49" s="15" t="inlineStr">
        <is>
          <t>Полный audit trail: кто, что, когда</t>
        </is>
      </c>
    </row>
    <row r="50" ht="22" customHeight="1">
      <c r="A50" s="16" t="inlineStr">
        <is>
          <t>9.4</t>
        </is>
      </c>
      <c r="B50" s="17" t="inlineStr">
        <is>
          <t>Docker / on-premise деплоймент (GPU)</t>
        </is>
      </c>
      <c r="C50" s="18" t="inlineStr">
        <is>
          <t>M</t>
        </is>
      </c>
      <c r="D50" s="19" t="n">
        <v>8</v>
      </c>
      <c r="E50" s="19" t="n">
        <v>48</v>
      </c>
      <c r="F50" s="19" t="inlineStr"/>
      <c r="G50" s="19" t="n">
        <v>24</v>
      </c>
      <c r="H50" s="19" t="n">
        <v>8</v>
      </c>
      <c r="I50" s="19" t="n">
        <v>48</v>
      </c>
      <c r="J50" s="16">
        <f>SUM(D50:I50)</f>
        <v/>
      </c>
      <c r="K50" s="20">
        <f>J50*$N$2</f>
        <v/>
      </c>
      <c r="L50" s="21" t="inlineStr">
        <is>
          <t>Docker Compose + GPU passthrough, HA опционально</t>
        </is>
      </c>
    </row>
    <row r="51" ht="22" customHeight="1">
      <c r="A51" s="22" t="inlineStr">
        <is>
          <t>9.5</t>
        </is>
      </c>
      <c r="B51" s="23" t="inlineStr">
        <is>
          <t>HIPAA — полная документация, подготовка к аудиту</t>
        </is>
      </c>
      <c r="C51" s="31" t="inlineStr">
        <is>
          <t>M</t>
        </is>
      </c>
      <c r="D51" s="25" t="n">
        <v>32</v>
      </c>
      <c r="E51" s="25" t="inlineStr"/>
      <c r="F51" s="25" t="inlineStr"/>
      <c r="G51" s="25" t="n">
        <v>16</v>
      </c>
      <c r="H51" s="25" t="n">
        <v>16</v>
      </c>
      <c r="I51" s="25" t="inlineStr"/>
      <c r="J51" s="22">
        <f>SUM(D51:I51)</f>
        <v/>
      </c>
      <c r="K51" s="26">
        <f>J51*$N$2</f>
        <v/>
      </c>
      <c r="L51" s="27" t="inlineStr">
        <is>
          <t>⚠ Аудитор = отд. бюджет ~$5-20k</t>
        </is>
      </c>
    </row>
    <row r="52" ht="22" customHeight="1">
      <c r="A52" s="16" t="inlineStr">
        <is>
          <t>9.6</t>
        </is>
      </c>
      <c r="B52" s="17" t="inlineStr">
        <is>
          <t>GDPR + FDA 21 CFR Part 11 compliance</t>
        </is>
      </c>
      <c r="C52" s="30" t="inlineStr">
        <is>
          <t>S</t>
        </is>
      </c>
      <c r="D52" s="19" t="n">
        <v>16</v>
      </c>
      <c r="E52" s="19" t="inlineStr"/>
      <c r="F52" s="19" t="inlineStr"/>
      <c r="G52" s="19" t="n">
        <v>12</v>
      </c>
      <c r="H52" s="19" t="n">
        <v>12</v>
      </c>
      <c r="I52" s="19" t="inlineStr"/>
      <c r="J52" s="16">
        <f>SUM(D52:I52)</f>
        <v/>
      </c>
      <c r="K52" s="20">
        <f>J52*$N$2</f>
        <v/>
      </c>
      <c r="L52" s="21" t="inlineStr">
        <is>
          <t>Документация, проверка соответствия</t>
        </is>
      </c>
    </row>
    <row r="53" ht="22" customHeight="1">
      <c r="A53" s="6" t="inlineStr"/>
      <c r="B53" s="7" t="inlineStr">
        <is>
          <t>ТЕСТИРОВАНИЕ (СКВОЗНОЕ)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 t="n"/>
    </row>
    <row r="54" ht="22" customHeight="1">
      <c r="A54" s="16" t="inlineStr">
        <is>
          <t>10.1</t>
        </is>
      </c>
      <c r="B54" s="17" t="inlineStr">
        <is>
          <t>Функциональное тестирование всех модулей</t>
        </is>
      </c>
      <c r="C54" s="18" t="inlineStr">
        <is>
          <t>M</t>
        </is>
      </c>
      <c r="D54" s="19" t="n">
        <v>8</v>
      </c>
      <c r="E54" s="19" t="inlineStr"/>
      <c r="F54" s="19" t="inlineStr"/>
      <c r="G54" s="19" t="n">
        <v>80</v>
      </c>
      <c r="H54" s="19" t="n">
        <v>8</v>
      </c>
      <c r="I54" s="19" t="inlineStr"/>
      <c r="J54" s="16">
        <f>SUM(D54:I54)</f>
        <v/>
      </c>
      <c r="K54" s="20">
        <f>J54*$N$2</f>
        <v/>
      </c>
      <c r="L54" s="21" t="inlineStr">
        <is>
          <t>По каждому модулю: ASR/NMT/TTS/Glossary/Admin</t>
        </is>
      </c>
    </row>
    <row r="55" ht="22" customHeight="1">
      <c r="A55" s="10" t="inlineStr">
        <is>
          <t>10.2</t>
        </is>
      </c>
      <c r="B55" s="11" t="inlineStr">
        <is>
          <t>Интеграционное E2E тестирование</t>
        </is>
      </c>
      <c r="C55" s="12" t="inlineStr">
        <is>
          <t>M</t>
        </is>
      </c>
      <c r="D55" s="13" t="n">
        <v>4</v>
      </c>
      <c r="E55" s="13" t="n">
        <v>8</v>
      </c>
      <c r="F55" s="13" t="n">
        <v>8</v>
      </c>
      <c r="G55" s="13" t="n">
        <v>48</v>
      </c>
      <c r="H55" s="13" t="n">
        <v>4</v>
      </c>
      <c r="I55" s="13" t="n">
        <v>8</v>
      </c>
      <c r="J55" s="10">
        <f>SUM(D55:I55)</f>
        <v/>
      </c>
      <c r="K55" s="14">
        <f>J55*$N$2</f>
        <v/>
      </c>
      <c r="L55" s="15" t="inlineStr">
        <is>
          <t>Полный pipeline + ВКС + AdminPortal</t>
        </is>
      </c>
    </row>
    <row r="56" ht="22" customHeight="1">
      <c r="A56" s="16" t="inlineStr">
        <is>
          <t>10.3</t>
        </is>
      </c>
      <c r="B56" s="17" t="inlineStr">
        <is>
          <t>Нагрузочное тестирование (2 потока, &lt;2 сек)</t>
        </is>
      </c>
      <c r="C56" s="18" t="inlineStr">
        <is>
          <t>M</t>
        </is>
      </c>
      <c r="D56" s="19" t="n">
        <v>4</v>
      </c>
      <c r="E56" s="19" t="n">
        <v>8</v>
      </c>
      <c r="F56" s="19" t="inlineStr"/>
      <c r="G56" s="19" t="n">
        <v>48</v>
      </c>
      <c r="H56" s="19" t="n">
        <v>4</v>
      </c>
      <c r="I56" s="19" t="n">
        <v>16</v>
      </c>
      <c r="J56" s="16">
        <f>SUM(D56:I56)</f>
        <v/>
      </c>
      <c r="K56" s="20">
        <f>J56*$N$2</f>
        <v/>
      </c>
      <c r="L56" s="21" t="inlineStr">
        <is>
          <t>k6/Locust, мониторинг GPU, bottleneck анализ</t>
        </is>
      </c>
    </row>
    <row r="57" ht="22" customHeight="1">
      <c r="A57" s="10" t="inlineStr">
        <is>
          <t>10.4</t>
        </is>
      </c>
      <c r="B57" s="11" t="inlineStr">
        <is>
          <t>UAT / приёмочные тесты с заказчиком</t>
        </is>
      </c>
      <c r="C57" s="12" t="inlineStr">
        <is>
          <t>M</t>
        </is>
      </c>
      <c r="D57" s="13" t="n">
        <v>4</v>
      </c>
      <c r="E57" s="13" t="n">
        <v>8</v>
      </c>
      <c r="F57" s="13" t="inlineStr"/>
      <c r="G57" s="13" t="n">
        <v>40</v>
      </c>
      <c r="H57" s="13" t="n">
        <v>8</v>
      </c>
      <c r="I57" s="13" t="n">
        <v>4</v>
      </c>
      <c r="J57" s="10">
        <f>SUM(D57:I57)</f>
        <v/>
      </c>
      <c r="K57" s="14">
        <f>J57*$N$2</f>
        <v/>
      </c>
      <c r="L57" s="15" t="inlineStr">
        <is>
          <t>Реальные спикеры, реальный контент</t>
        </is>
      </c>
    </row>
    <row r="58" ht="22" customHeight="1">
      <c r="A58" s="6" t="inlineStr"/>
      <c r="B58" s="7" t="inlineStr">
        <is>
          <t>ДОКУМЕНТАЦИЯ И ОБУЧЕНИЕ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9" t="n"/>
    </row>
    <row r="59" ht="22" customHeight="1">
      <c r="A59" s="10" t="inlineStr">
        <is>
          <t>11.1</t>
        </is>
      </c>
      <c r="B59" s="11" t="inlineStr">
        <is>
          <t>Техническая документация (архитектура, API, deploy)</t>
        </is>
      </c>
      <c r="C59" s="12" t="inlineStr">
        <is>
          <t>M</t>
        </is>
      </c>
      <c r="D59" s="13" t="n">
        <v>16</v>
      </c>
      <c r="E59" s="13" t="n">
        <v>8</v>
      </c>
      <c r="F59" s="13" t="n">
        <v>4</v>
      </c>
      <c r="G59" s="13" t="inlineStr"/>
      <c r="H59" s="13" t="n">
        <v>8</v>
      </c>
      <c r="I59" s="13" t="n">
        <v>4</v>
      </c>
      <c r="J59" s="10">
        <f>SUM(D59:I59)</f>
        <v/>
      </c>
      <c r="K59" s="14">
        <f>J59*$N$2</f>
        <v/>
      </c>
      <c r="L59" s="15" t="inlineStr">
        <is>
          <t>Swagger, README, runbook, архитектурные диаграммы</t>
        </is>
      </c>
    </row>
    <row r="60" ht="22" customHeight="1">
      <c r="A60" s="16" t="inlineStr">
        <is>
          <t>11.2</t>
        </is>
      </c>
      <c r="B60" s="17" t="inlineStr">
        <is>
          <t>Пользовательская документация</t>
        </is>
      </c>
      <c r="C60" s="18" t="inlineStr">
        <is>
          <t>M</t>
        </is>
      </c>
      <c r="D60" s="19" t="n">
        <v>16</v>
      </c>
      <c r="E60" s="19" t="n">
        <v>4</v>
      </c>
      <c r="F60" s="19" t="inlineStr"/>
      <c r="G60" s="19" t="inlineStr"/>
      <c r="H60" s="19" t="n">
        <v>8</v>
      </c>
      <c r="I60" s="19" t="inlineStr"/>
      <c r="J60" s="16">
        <f>SUM(D60:I60)</f>
        <v/>
      </c>
      <c r="K60" s="20">
        <f>J60*$N$2</f>
        <v/>
      </c>
      <c r="L60" s="21" t="inlineStr">
        <is>
          <t>Руководство оператора + руководство участника</t>
        </is>
      </c>
    </row>
    <row r="61" ht="22" customHeight="1">
      <c r="A61" s="10" t="inlineStr">
        <is>
          <t>11.3</t>
        </is>
      </c>
      <c r="B61" s="11" t="inlineStr">
        <is>
          <t>Обучение операторов AdminPortal™</t>
        </is>
      </c>
      <c r="C61" s="12" t="inlineStr">
        <is>
          <t>M</t>
        </is>
      </c>
      <c r="D61" s="13" t="n">
        <v>4</v>
      </c>
      <c r="E61" s="13" t="inlineStr"/>
      <c r="F61" s="13" t="inlineStr"/>
      <c r="G61" s="13" t="inlineStr"/>
      <c r="H61" s="13" t="n">
        <v>12</v>
      </c>
      <c r="I61" s="13" t="inlineStr"/>
      <c r="J61" s="10">
        <f>SUM(D61:I61)</f>
        <v/>
      </c>
      <c r="K61" s="14">
        <f>J61*$N$2</f>
        <v/>
      </c>
      <c r="L61" s="15" t="inlineStr">
        <is>
          <t>2 сессии × 2ч + материалы</t>
        </is>
      </c>
    </row>
    <row r="62" ht="22" customHeight="1">
      <c r="A62" s="16" t="inlineStr">
        <is>
          <t>11.4</t>
        </is>
      </c>
      <c r="B62" s="17" t="inlineStr">
        <is>
          <t>Обучение участников конференций</t>
        </is>
      </c>
      <c r="C62" s="30" t="inlineStr">
        <is>
          <t>S</t>
        </is>
      </c>
      <c r="D62" s="19" t="inlineStr"/>
      <c r="E62" s="19" t="inlineStr"/>
      <c r="F62" s="19" t="inlineStr"/>
      <c r="G62" s="19" t="inlineStr"/>
      <c r="H62" s="19" t="n">
        <v>12</v>
      </c>
      <c r="I62" s="19" t="inlineStr"/>
      <c r="J62" s="16">
        <f>SUM(D62:I62)</f>
        <v/>
      </c>
      <c r="K62" s="20">
        <f>J62*$N$2</f>
        <v/>
      </c>
      <c r="L62" s="21" t="inlineStr">
        <is>
          <t>Краткая инструкция + демо-сессия</t>
        </is>
      </c>
    </row>
    <row r="63" ht="22" customHeight="1">
      <c r="A63" s="6" t="inlineStr"/>
      <c r="B63" s="7" t="inlineStr">
        <is>
          <t>ЗАПУСК И СОПРОВОЖДЕНИЕ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9" t="n"/>
    </row>
    <row r="64" ht="22" customHeight="1">
      <c r="A64" s="16" t="inlineStr">
        <is>
          <t>12.1</t>
        </is>
      </c>
      <c r="B64" s="17" t="inlineStr">
        <is>
          <t>Опытная эксплуатация — пилотный телемост</t>
        </is>
      </c>
      <c r="C64" s="18" t="inlineStr">
        <is>
          <t>M</t>
        </is>
      </c>
      <c r="D64" s="19" t="n">
        <v>8</v>
      </c>
      <c r="E64" s="19" t="n">
        <v>16</v>
      </c>
      <c r="F64" s="19" t="inlineStr"/>
      <c r="G64" s="19" t="n">
        <v>32</v>
      </c>
      <c r="H64" s="19" t="n">
        <v>20</v>
      </c>
      <c r="I64" s="19" t="n">
        <v>16</v>
      </c>
      <c r="J64" s="16">
        <f>SUM(D64:I64)</f>
        <v/>
      </c>
      <c r="K64" s="20">
        <f>J64*$N$2</f>
        <v/>
      </c>
      <c r="L64" s="21" t="inlineStr">
        <is>
          <t>Реальная конференция EN↔RU, EN↔HI</t>
        </is>
      </c>
    </row>
    <row r="65" ht="22" customHeight="1">
      <c r="A65" s="10" t="inlineStr">
        <is>
          <t>12.2</t>
        </is>
      </c>
      <c r="B65" s="11" t="inlineStr">
        <is>
          <t>Устранение замечаний по итогам пилота</t>
        </is>
      </c>
      <c r="C65" s="12" t="inlineStr">
        <is>
          <t>M</t>
        </is>
      </c>
      <c r="D65" s="13" t="inlineStr"/>
      <c r="E65" s="13" t="n">
        <v>24</v>
      </c>
      <c r="F65" s="13" t="n">
        <v>8</v>
      </c>
      <c r="G65" s="13" t="n">
        <v>16</v>
      </c>
      <c r="H65" s="13" t="n">
        <v>12</v>
      </c>
      <c r="I65" s="13" t="n">
        <v>8</v>
      </c>
      <c r="J65" s="10">
        <f>SUM(D65:I65)</f>
        <v/>
      </c>
      <c r="K65" s="14">
        <f>J65*$N$2</f>
        <v/>
      </c>
      <c r="L65" s="15" t="inlineStr">
        <is>
          <t>Баги, UX, точность, latency</t>
        </is>
      </c>
    </row>
    <row r="66" ht="22" customHeight="1">
      <c r="A66" s="16" t="inlineStr">
        <is>
          <t>12.3</t>
        </is>
      </c>
      <c r="B66" s="17" t="inlineStr">
        <is>
          <t>Финальный запуск + передача заказчику</t>
        </is>
      </c>
      <c r="C66" s="18" t="inlineStr">
        <is>
          <t>M</t>
        </is>
      </c>
      <c r="D66" s="19" t="inlineStr"/>
      <c r="E66" s="19" t="inlineStr"/>
      <c r="F66" s="19" t="inlineStr"/>
      <c r="G66" s="19" t="inlineStr"/>
      <c r="H66" s="19" t="n">
        <v>12</v>
      </c>
      <c r="I66" s="19" t="n">
        <v>16</v>
      </c>
      <c r="J66" s="16">
        <f>SUM(D66:I66)</f>
        <v/>
      </c>
      <c r="K66" s="20">
        <f>J66*$N$2</f>
        <v/>
      </c>
      <c r="L66" s="21" t="inlineStr">
        <is>
          <t>Акт приёмки, передача документации</t>
        </is>
      </c>
    </row>
    <row r="67" ht="26" customHeight="1">
      <c r="A67" s="32" t="inlineStr"/>
      <c r="B67" s="33" t="inlineStr">
        <is>
          <t>ИТОГО (базовая оценка)</t>
        </is>
      </c>
      <c r="C67" s="32" t="inlineStr"/>
      <c r="D67" s="34">
        <f>SUM(D4:D66)</f>
        <v/>
      </c>
      <c r="E67" s="34">
        <f>SUM(E4:E66)</f>
        <v/>
      </c>
      <c r="F67" s="34">
        <f>SUM(F4:F66)</f>
        <v/>
      </c>
      <c r="G67" s="34">
        <f>SUM(G4:G66)</f>
        <v/>
      </c>
      <c r="H67" s="34">
        <f>SUM(H4:H66)</f>
        <v/>
      </c>
      <c r="I67" s="34">
        <f>SUM(I4:I66)</f>
        <v/>
      </c>
      <c r="J67" s="34">
        <f>SUM(J4:J66)</f>
        <v/>
      </c>
      <c r="K67" s="35">
        <f>J67*$N$2</f>
        <v/>
      </c>
      <c r="L67" s="32" t="inlineStr"/>
    </row>
    <row r="68" ht="24" customHeight="1">
      <c r="A68" s="36" t="inlineStr"/>
      <c r="B68" s="37" t="inlineStr">
        <is>
          <t>Буфер / Contingency (15%)</t>
        </is>
      </c>
      <c r="C68" s="36" t="inlineStr"/>
      <c r="D68" s="36" t="inlineStr"/>
      <c r="E68" s="36" t="inlineStr"/>
      <c r="F68" s="36" t="inlineStr"/>
      <c r="G68" s="36" t="inlineStr"/>
      <c r="H68" s="36" t="inlineStr"/>
      <c r="I68" s="36" t="inlineStr"/>
      <c r="J68" s="38">
        <f>ROUND(J67*0.15,0)</f>
        <v/>
      </c>
      <c r="K68" s="39">
        <f>J68*$N$2</f>
        <v/>
      </c>
      <c r="L68" s="40" t="inlineStr">
        <is>
          <t>Риски: LDAP, спикеры, Zoom/Teams API</t>
        </is>
      </c>
    </row>
    <row r="69" ht="30" customHeight="1">
      <c r="A69" s="41" t="inlineStr"/>
      <c r="B69" s="42" t="inlineStr">
        <is>
          <t>ИТОГО С БУФЕРОМ</t>
        </is>
      </c>
      <c r="C69" s="43" t="n"/>
      <c r="D69" s="43" t="n"/>
      <c r="E69" s="43" t="n"/>
      <c r="F69" s="43" t="n"/>
      <c r="G69" s="43" t="n"/>
      <c r="H69" s="43" t="n"/>
      <c r="I69" s="43" t="n"/>
      <c r="J69" s="1">
        <f>J67+J68</f>
        <v/>
      </c>
      <c r="K69" s="44">
        <f>J69*$N$2</f>
        <v/>
      </c>
      <c r="L69" s="41" t="inlineStr"/>
    </row>
  </sheetData>
  <mergeCells count="14">
    <mergeCell ref="B4:L4"/>
    <mergeCell ref="A2:L2"/>
    <mergeCell ref="B53:L53"/>
    <mergeCell ref="B58:L58"/>
    <mergeCell ref="B30:L30"/>
    <mergeCell ref="A1:L1"/>
    <mergeCell ref="B25:L25"/>
    <mergeCell ref="B20:L20"/>
    <mergeCell ref="B46:L46"/>
    <mergeCell ref="B36:L36"/>
    <mergeCell ref="B14:L14"/>
    <mergeCell ref="B63:L63"/>
    <mergeCell ref="B40:L40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</cols>
  <sheetData>
    <row r="1" ht="28" customHeight="1">
      <c r="A1" s="1" t="inlineStr">
        <is>
          <t>Сводная таблица по специалистам — SyncVoice™ Platform</t>
        </is>
      </c>
    </row>
    <row r="2">
      <c r="A2" s="5" t="inlineStr">
        <is>
          <t>Специалист</t>
        </is>
      </c>
      <c r="B2" s="5" t="inlineStr">
        <is>
          <t>Часов</t>
        </is>
      </c>
      <c r="C2" s="5" t="inlineStr">
        <is>
          <t>Ставка руб./ч</t>
        </is>
      </c>
      <c r="D2" s="5" t="inlineStr">
        <is>
          <t>Стоимость, руб.</t>
        </is>
      </c>
    </row>
    <row r="3" ht="22" customHeight="1">
      <c r="A3" s="45" t="inlineStr">
        <is>
          <t>Аналитик</t>
        </is>
      </c>
      <c r="B3" s="16">
        <f>'Декомпозиция'!D67</f>
        <v/>
      </c>
      <c r="C3" s="46">
        <f>'Декомпозиция'!$N$2</f>
        <v/>
      </c>
      <c r="D3" s="47">
        <f>B3*C3</f>
        <v/>
      </c>
    </row>
    <row r="4" ht="22" customHeight="1">
      <c r="A4" s="48" t="inlineStr">
        <is>
          <t>Разработчик Back-End</t>
        </is>
      </c>
      <c r="B4" s="10">
        <f>'Декомпозиция'!E67</f>
        <v/>
      </c>
      <c r="C4" s="49">
        <f>'Декомпозиция'!$N$2</f>
        <v/>
      </c>
      <c r="D4" s="50">
        <f>B4*C4</f>
        <v/>
      </c>
    </row>
    <row r="5" ht="22" customHeight="1">
      <c r="A5" s="45" t="inlineStr">
        <is>
          <t>Разработчик Front-End</t>
        </is>
      </c>
      <c r="B5" s="16">
        <f>'Декомпозиция'!F67</f>
        <v/>
      </c>
      <c r="C5" s="46">
        <f>'Декомпозиция'!$N$2</f>
        <v/>
      </c>
      <c r="D5" s="47">
        <f>B5*C5</f>
        <v/>
      </c>
    </row>
    <row r="6" ht="22" customHeight="1">
      <c r="A6" s="48" t="inlineStr">
        <is>
          <t>Тестировщик (QA)</t>
        </is>
      </c>
      <c r="B6" s="10">
        <f>'Декомпозиция'!G67</f>
        <v/>
      </c>
      <c r="C6" s="49">
        <f>'Декомпозиция'!$N$2</f>
        <v/>
      </c>
      <c r="D6" s="50">
        <f>B6*C6</f>
        <v/>
      </c>
    </row>
    <row r="7" ht="22" customHeight="1">
      <c r="A7" s="45" t="inlineStr">
        <is>
          <t>Руководитель проекта</t>
        </is>
      </c>
      <c r="B7" s="16">
        <f>'Декомпозиция'!H67</f>
        <v/>
      </c>
      <c r="C7" s="46">
        <f>'Декомпозиция'!$N$2</f>
        <v/>
      </c>
      <c r="D7" s="47">
        <f>B7*C7</f>
        <v/>
      </c>
    </row>
    <row r="8" ht="22" customHeight="1">
      <c r="A8" s="48" t="inlineStr">
        <is>
          <t>DevOps-инженер</t>
        </is>
      </c>
      <c r="B8" s="10">
        <f>'Декомпозиция'!I67</f>
        <v/>
      </c>
      <c r="C8" s="49">
        <f>'Декомпозиция'!$N$2</f>
        <v/>
      </c>
      <c r="D8" s="50">
        <f>B8*C8</f>
        <v/>
      </c>
    </row>
    <row r="9" ht="26" customHeight="1">
      <c r="A9" s="33" t="inlineStr">
        <is>
          <t>Базовая оценка</t>
        </is>
      </c>
      <c r="B9" s="34">
        <f>SUM(B3:B8)</f>
        <v/>
      </c>
      <c r="C9" s="51">
        <f>'Декомпозиция'!$N$2</f>
        <v/>
      </c>
      <c r="D9" s="35">
        <f>B9*C9</f>
        <v/>
      </c>
    </row>
    <row r="10" ht="24" customHeight="1">
      <c r="A10" s="37" t="inlineStr">
        <is>
          <t>Буфер 15%</t>
        </is>
      </c>
      <c r="B10" s="38">
        <f>ROUND(B9*0.15,0)</f>
        <v/>
      </c>
      <c r="C10" s="52">
        <f>'Декомпозиция'!$N$2</f>
        <v/>
      </c>
      <c r="D10" s="39">
        <f>B10*C10</f>
        <v/>
      </c>
    </row>
    <row r="11" ht="30" customHeight="1">
      <c r="A11" s="42" t="inlineStr">
        <is>
          <t>ИТОГО</t>
        </is>
      </c>
      <c r="B11" s="53">
        <f>B9+B10</f>
        <v/>
      </c>
      <c r="C11" s="54">
        <f>'Декомпозиция'!$N$2</f>
        <v/>
      </c>
      <c r="D11" s="55">
        <f>B11*C11</f>
        <v/>
      </c>
    </row>
    <row r="13" ht="24" customHeight="1">
      <c r="A13" s="56" t="inlineStr">
        <is>
          <t>⚠️ HIPAA: стоимость внешнего аудитора (~$5–20k) НЕ включена — требует отдельного бюджета.</t>
        </is>
      </c>
    </row>
    <row r="14" ht="24" customHeight="1">
      <c r="A14" s="56" t="inlineStr">
        <is>
          <t>⚠️ GPU-оборудование для on-premise (~1–2 млн ₽) — отдельная статья расходов заказчика.</t>
        </is>
      </c>
    </row>
    <row r="15" ht="24" customHeight="1">
      <c r="A15" s="57" t="inlineStr">
        <is>
          <t>📅 Рекомендуемые сроки: 6–8 месяцев при команде 3–4 BE + ML-инженер + FE + QA + DevOps.</t>
        </is>
      </c>
    </row>
    <row r="16" ht="24" customHeight="1">
      <c r="A16" s="56" t="inlineStr">
        <is>
          <t>⚠️ Качество перевода гарантируется для EN↔RU и EN↔HI. Остальные пары — best effort.</t>
        </is>
      </c>
    </row>
  </sheetData>
  <mergeCells count="5">
    <mergeCell ref="A1:D1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2026-02-17T15:42:00Z</dcterms:created>
  <dcterms:modified xmlns:dcterms="http://purl.org/dc/terms/" xmlns:xsi="http://www.w3.org/2001/XMLSchema-instance" xsi:type="dcterms:W3CDTF">2026-02-17T15:42:01Z</dcterms:modified>
</cp:coreProperties>
</file>