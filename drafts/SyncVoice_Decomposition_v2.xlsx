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</font>
    <font>
      <name val="Calibri"/>
      <i val="1"/>
      <color rgb="00595959"/>
      <sz val="9"/>
    </font>
    <font>
      <name val="Calibri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E06666"/>
      </patternFill>
    </fill>
    <fill>
      <patternFill patternType="solid">
        <fgColor rgb="003876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5" t="inlineStr">
        <is>
          <t>Inference оптимизация, SeamlessM4T, VAD pipeline</t>
        </is>
      </c>
    </row>
    <row r="5">
      <c r="A5" s="6" t="inlineStr">
        <is>
          <t>Backend Senior</t>
        </is>
      </c>
      <c r="B5" s="7" t="n">
        <v>3000</v>
      </c>
      <c r="C5" s="8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5" t="inlineStr">
        <is>
          <t>React, LiveKit Client SDK, Admin Portal</t>
        </is>
      </c>
    </row>
    <row r="7">
      <c r="A7" s="6" t="inlineStr">
        <is>
          <t>DevOps</t>
        </is>
      </c>
      <c r="B7" s="7" t="n">
        <v>2500</v>
      </c>
      <c r="C7" s="8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5" t="inlineStr">
        <is>
          <t>Функциональное и нагрузочное тестирование</t>
        </is>
      </c>
    </row>
    <row r="9">
      <c r="A9" s="6" t="inlineStr">
        <is>
          <t>РП</t>
        </is>
      </c>
      <c r="B9" s="7" t="n">
        <v>3500</v>
      </c>
      <c r="C9" s="8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2" customWidth="1" min="4" max="4"/>
    <col width="10" customWidth="1" min="5" max="5"/>
    <col width="14" customWidth="1" min="6" max="6"/>
    <col width="11" customWidth="1" min="7" max="7"/>
    <col width="9" customWidth="1" min="8" max="8"/>
    <col width="8" customWidth="1" min="9" max="9"/>
    <col width="7" customWidth="1" min="10" max="10"/>
    <col width="12" customWidth="1" min="11" max="11"/>
    <col width="16" customWidth="1" min="12" max="12"/>
    <col width="18" customWidth="1" min="13" max="13"/>
  </cols>
  <sheetData>
    <row r="1" ht="30" customHeight="1">
      <c r="A1" s="1" t="inlineStr">
        <is>
          <t>SyncVoice™ — Декомпозиция и оценка трудозатрат</t>
        </is>
      </c>
    </row>
    <row r="2">
      <c r="E2" s="9" t="inlineStr">
        <is>
          <t>Часы по специалистам</t>
        </is>
      </c>
    </row>
    <row r="3" ht="32" customHeight="1">
      <c r="A3" s="2" t="inlineStr">
        <is>
          <t>#</t>
        </is>
      </c>
      <c r="B3" s="2" t="inlineStr">
        <is>
          <t>Модуль</t>
        </is>
      </c>
      <c r="C3" s="2" t="inlineStr">
        <is>
          <t>Задача</t>
        </is>
      </c>
      <c r="D3" s="2" t="inlineStr">
        <is>
          <t>Описание</t>
        </is>
      </c>
      <c r="E3" s="2" t="inlineStr">
        <is>
          <t>ML</t>
        </is>
      </c>
      <c r="F3" s="2" t="inlineStr">
        <is>
          <t>Backend</t>
        </is>
      </c>
      <c r="G3" s="2" t="inlineStr">
        <is>
          <t>Frontend</t>
        </is>
      </c>
      <c r="H3" s="2" t="inlineStr">
        <is>
          <t>DevOps</t>
        </is>
      </c>
      <c r="I3" s="2" t="inlineStr">
        <is>
          <t>QA</t>
        </is>
      </c>
      <c r="J3" s="2" t="inlineStr">
        <is>
          <t>РП</t>
        </is>
      </c>
      <c r="K3" s="2" t="inlineStr">
        <is>
          <t>Итого
часов</t>
        </is>
      </c>
      <c r="L3" s="2" t="inlineStr">
        <is>
          <t>Стоимость
(₽)</t>
        </is>
      </c>
      <c r="M3" s="2" t="inlineStr">
        <is>
          <t>Фаза</t>
        </is>
      </c>
    </row>
    <row r="4" ht="22" customHeight="1">
      <c r="A4" s="10" t="inlineStr">
        <is>
          <t>1.1</t>
        </is>
      </c>
      <c r="B4" s="11" t="inlineStr">
        <is>
          <t>LiveKit SFU</t>
        </is>
      </c>
      <c r="C4" s="11" t="inlineStr">
        <is>
          <t>Развёртывание LiveKit Server</t>
        </is>
      </c>
      <c r="D4" s="11" t="inlineStr">
        <is>
          <t>Docker, порты, TLS, Redis</t>
        </is>
      </c>
      <c r="E4" s="10" t="inlineStr"/>
      <c r="F4" s="10" t="inlineStr"/>
      <c r="G4" s="10" t="inlineStr"/>
      <c r="H4" s="10" t="n">
        <v>16</v>
      </c>
      <c r="I4" s="10" t="inlineStr"/>
      <c r="J4" s="10" t="n">
        <v>2</v>
      </c>
      <c r="K4" s="12">
        <f>SUM(E4:J4)</f>
        <v/>
      </c>
      <c r="L4" s="13">
        <f>E4*3000+F4*3000+G4*2500+H4*2500+I4*2000+J4*3500</f>
        <v/>
      </c>
      <c r="M4" s="14" t="inlineStr">
        <is>
          <t>Phase 1: MVP</t>
        </is>
      </c>
    </row>
    <row r="5" ht="22" customHeight="1">
      <c r="A5" s="10" t="inlineStr">
        <is>
          <t>1.2</t>
        </is>
      </c>
      <c r="B5" s="11" t="inlineStr">
        <is>
          <t>Translation Agent</t>
        </is>
      </c>
      <c r="C5" s="11" t="inlineStr">
        <is>
          <t>Перенос batch pipeline</t>
        </is>
      </c>
      <c r="D5" s="11" t="inlineStr">
        <is>
          <t>LiveKit Agents SDK, VAD, chunking, fanout</t>
        </is>
      </c>
      <c r="E5" s="10" t="n">
        <v>60</v>
      </c>
      <c r="F5" s="10" t="inlineStr"/>
      <c r="G5" s="10" t="inlineStr"/>
      <c r="H5" s="10" t="inlineStr"/>
      <c r="I5" s="10" t="inlineStr"/>
      <c r="J5" s="10" t="n">
        <v>4</v>
      </c>
      <c r="K5" s="12">
        <f>SUM(E5:J5)</f>
        <v/>
      </c>
      <c r="L5" s="13">
        <f>E5*3000+F5*3000+G5*2500+H5*2500+I5*2000+J5*3500</f>
        <v/>
      </c>
      <c r="M5" s="14" t="inlineStr">
        <is>
          <t>Phase 1: MVP</t>
        </is>
      </c>
    </row>
    <row r="6" ht="22" customHeight="1">
      <c r="A6" s="10" t="inlineStr">
        <is>
          <t>1.3</t>
        </is>
      </c>
      <c r="B6" s="11" t="inlineStr">
        <is>
          <t>Маршрутизация</t>
        </is>
      </c>
      <c r="C6" s="11" t="inlineStr">
        <is>
          <t>Подписки по языкам</t>
        </is>
      </c>
      <c r="D6" s="11" t="inlineStr">
        <is>
          <t>Track subscription rules, фильтрация своего</t>
        </is>
      </c>
      <c r="E6" s="10" t="inlineStr"/>
      <c r="F6" s="10" t="n">
        <v>32</v>
      </c>
      <c r="G6" s="10" t="inlineStr"/>
      <c r="H6" s="10" t="inlineStr"/>
      <c r="I6" s="10" t="inlineStr"/>
      <c r="J6" s="10" t="n">
        <v>3</v>
      </c>
      <c r="K6" s="12">
        <f>SUM(E6:J6)</f>
        <v/>
      </c>
      <c r="L6" s="13">
        <f>E6*3000+F6*3000+G6*2500+H6*2500+I6*2000+J6*3500</f>
        <v/>
      </c>
      <c r="M6" s="14" t="inlineStr">
        <is>
          <t>Phase 1: MVP</t>
        </is>
      </c>
    </row>
    <row r="7" ht="22" customHeight="1">
      <c r="A7" s="10" t="inlineStr">
        <is>
          <t>1.4</t>
        </is>
      </c>
      <c r="B7" s="11" t="inlineStr">
        <is>
          <t>Web-клиент</t>
        </is>
      </c>
      <c r="C7" s="11" t="inlineStr">
        <is>
          <t>React + LiveKit Client SDK</t>
        </is>
      </c>
      <c r="D7" s="11" t="inlineStr">
        <is>
          <t>Вход, выбор языка, видео, микрофон, индикаторы</t>
        </is>
      </c>
      <c r="E7" s="10" t="inlineStr"/>
      <c r="F7" s="10" t="inlineStr"/>
      <c r="G7" s="10" t="n">
        <v>56</v>
      </c>
      <c r="H7" s="10" t="inlineStr"/>
      <c r="I7" s="10" t="inlineStr"/>
      <c r="J7" s="10" t="n">
        <v>4</v>
      </c>
      <c r="K7" s="12">
        <f>SUM(E7:J7)</f>
        <v/>
      </c>
      <c r="L7" s="13">
        <f>E7*3000+F7*3000+G7*2500+H7*2500+I7*2000+J7*3500</f>
        <v/>
      </c>
      <c r="M7" s="14" t="inlineStr">
        <is>
          <t>Phase 1: MVP</t>
        </is>
      </c>
    </row>
    <row r="8" ht="22" customHeight="1">
      <c r="A8" s="10" t="inlineStr">
        <is>
          <t>1.5</t>
        </is>
      </c>
      <c r="B8" s="11" t="inlineStr">
        <is>
          <t>Backend API</t>
        </is>
      </c>
      <c r="C8" s="11" t="inlineStr">
        <is>
          <t>FastAPI: комнаты и токены</t>
        </is>
      </c>
      <c r="D8" s="11" t="inlineStr">
        <is>
          <t>REST endpoints, LiveKit токены</t>
        </is>
      </c>
      <c r="E8" s="10" t="inlineStr"/>
      <c r="F8" s="10" t="n">
        <v>24</v>
      </c>
      <c r="G8" s="10" t="inlineStr"/>
      <c r="H8" s="10" t="inlineStr"/>
      <c r="I8" s="10" t="inlineStr"/>
      <c r="J8" s="10" t="n">
        <v>2</v>
      </c>
      <c r="K8" s="12">
        <f>SUM(E8:J8)</f>
        <v/>
      </c>
      <c r="L8" s="13">
        <f>E8*3000+F8*3000+G8*2500+H8*2500+I8*2000+J8*3500</f>
        <v/>
      </c>
      <c r="M8" s="14" t="inlineStr">
        <is>
          <t>Phase 1: MVP</t>
        </is>
      </c>
    </row>
    <row r="9" ht="22" customHeight="1">
      <c r="A9" s="10" t="inlineStr">
        <is>
          <t>1.6</t>
        </is>
      </c>
      <c r="B9" s="11" t="inlineStr">
        <is>
          <t>Coturn</t>
        </is>
      </c>
      <c r="C9" s="11" t="inlineStr">
        <is>
          <t>TURN/STUN сервер</t>
        </is>
      </c>
      <c r="D9" s="11" t="inlineStr">
        <is>
          <t>Настройка Coturn, NAT traversal</t>
        </is>
      </c>
      <c r="E9" s="10" t="inlineStr"/>
      <c r="F9" s="10" t="inlineStr"/>
      <c r="G9" s="10" t="inlineStr"/>
      <c r="H9" s="10" t="n">
        <v>12</v>
      </c>
      <c r="I9" s="10" t="inlineStr"/>
      <c r="J9" s="10" t="n">
        <v>1</v>
      </c>
      <c r="K9" s="12">
        <f>SUM(E9:J9)</f>
        <v/>
      </c>
      <c r="L9" s="13">
        <f>E9*3000+F9*3000+G9*2500+H9*2500+I9*2000+J9*3500</f>
        <v/>
      </c>
      <c r="M9" s="14" t="inlineStr">
        <is>
          <t>Phase 1: MVP</t>
        </is>
      </c>
    </row>
    <row r="10" ht="22" customHeight="1">
      <c r="A10" s="10" t="inlineStr">
        <is>
          <t>1.7</t>
        </is>
      </c>
      <c r="B10" s="11" t="inlineStr">
        <is>
          <t>Docker Compose MVP</t>
        </is>
      </c>
      <c r="C10" s="11" t="inlineStr">
        <is>
          <t>Compose для MVP</t>
        </is>
      </c>
      <c r="D10" s="11" t="inlineStr">
        <is>
          <t>LiveKit + Agent + Redis + Coturn, GPU runtime</t>
        </is>
      </c>
      <c r="E10" s="10" t="inlineStr"/>
      <c r="F10" s="10" t="inlineStr"/>
      <c r="G10" s="10" t="inlineStr"/>
      <c r="H10" s="10" t="n">
        <v>16</v>
      </c>
      <c r="I10" s="10" t="inlineStr"/>
      <c r="J10" s="10" t="n">
        <v>2</v>
      </c>
      <c r="K10" s="12">
        <f>SUM(E10:J10)</f>
        <v/>
      </c>
      <c r="L10" s="13">
        <f>E10*3000+F10*3000+G10*2500+H10*2500+I10*2000+J10*3500</f>
        <v/>
      </c>
      <c r="M10" s="14" t="inlineStr">
        <is>
          <t>Phase 1: MVP</t>
        </is>
      </c>
    </row>
    <row r="11" ht="22" customHeight="1">
      <c r="A11" s="10" t="inlineStr">
        <is>
          <t>1.8</t>
        </is>
      </c>
      <c r="B11" s="11" t="inlineStr">
        <is>
          <t>QA Phase 1</t>
        </is>
      </c>
      <c r="C11" s="11" t="inlineStr">
        <is>
          <t>Интеграционное тестирование</t>
        </is>
      </c>
      <c r="D11" s="11" t="inlineStr">
        <is>
          <t>E2E, latency, стресс-тест concurrent speakers</t>
        </is>
      </c>
      <c r="E11" s="10" t="inlineStr"/>
      <c r="F11" s="10" t="inlineStr"/>
      <c r="G11" s="10" t="inlineStr"/>
      <c r="H11" s="10" t="inlineStr"/>
      <c r="I11" s="10" t="n">
        <v>32</v>
      </c>
      <c r="J11" s="10" t="n">
        <v>2</v>
      </c>
      <c r="K11" s="12">
        <f>SUM(E11:J11)</f>
        <v/>
      </c>
      <c r="L11" s="13">
        <f>E11*3000+F11*3000+G11*2500+H11*2500+I11*2000+J11*3500</f>
        <v/>
      </c>
      <c r="M11" s="14" t="inlineStr">
        <is>
          <t>Phase 1: MVP</t>
        </is>
      </c>
    </row>
    <row r="12" ht="22" customHeight="1">
      <c r="A12" s="15" t="inlineStr">
        <is>
          <t>2.1</t>
        </is>
      </c>
      <c r="B12" s="16" t="inlineStr">
        <is>
          <t>Auth</t>
        </is>
      </c>
      <c r="C12" s="16" t="inlineStr">
        <is>
          <t>Аутентификация и роли (Backend)</t>
        </is>
      </c>
      <c r="D12" s="16" t="inlineStr">
        <is>
          <t>JWT, CRUD пользователей, гостевой доступ</t>
        </is>
      </c>
      <c r="E12" s="15" t="inlineStr"/>
      <c r="F12" s="15" t="n">
        <v>40</v>
      </c>
      <c r="G12" s="15" t="inlineStr"/>
      <c r="H12" s="15" t="inlineStr"/>
      <c r="I12" s="15" t="inlineStr"/>
      <c r="J12" s="15" t="n">
        <v>4</v>
      </c>
      <c r="K12" s="17">
        <f>SUM(E12:J12)</f>
        <v/>
      </c>
      <c r="L12" s="18">
        <f>E12*3000+F12*3000+G12*2500+H12*2500+I12*2000+J12*3500</f>
        <v/>
      </c>
      <c r="M12" s="19" t="inlineStr">
        <is>
          <t>Phase 2: Продукт</t>
        </is>
      </c>
    </row>
    <row r="13" ht="22" customHeight="1">
      <c r="A13" s="15" t="inlineStr">
        <is>
          <t>2.2</t>
        </is>
      </c>
      <c r="B13" s="16" t="inlineStr">
        <is>
          <t>Auth</t>
        </is>
      </c>
      <c r="C13" s="16" t="inlineStr">
        <is>
          <t>Auth Frontend</t>
        </is>
      </c>
      <c r="D13" s="16" t="inlineStr">
        <is>
          <t>Логин, регистрация, защита роутов по ролям</t>
        </is>
      </c>
      <c r="E13" s="15" t="inlineStr"/>
      <c r="F13" s="15" t="inlineStr"/>
      <c r="G13" s="15" t="n">
        <v>24</v>
      </c>
      <c r="H13" s="15" t="inlineStr"/>
      <c r="I13" s="15" t="inlineStr"/>
      <c r="J13" s="15" t="n">
        <v>2</v>
      </c>
      <c r="K13" s="17">
        <f>SUM(E13:J13)</f>
        <v/>
      </c>
      <c r="L13" s="18">
        <f>E13*3000+F13*3000+G13*2500+H13*2500+I13*2000+J13*3500</f>
        <v/>
      </c>
      <c r="M13" s="19" t="inlineStr">
        <is>
          <t>Phase 2: Продукт</t>
        </is>
      </c>
    </row>
    <row r="14" ht="22" customHeight="1">
      <c r="A14" s="15" t="inlineStr">
        <is>
          <t>2.3</t>
        </is>
      </c>
      <c r="B14" s="16" t="inlineStr">
        <is>
          <t>GlossaryAI</t>
        </is>
      </c>
      <c r="C14" s="16" t="inlineStr">
        <is>
          <t>Модуль постобработки</t>
        </is>
      </c>
      <c r="D14" s="16" t="inlineStr">
        <is>
          <t>Trie/hash-lookup, замены, транскрипции, pipeline</t>
        </is>
      </c>
      <c r="E14" s="15" t="n">
        <v>48</v>
      </c>
      <c r="F14" s="15" t="inlineStr"/>
      <c r="G14" s="15" t="inlineStr"/>
      <c r="H14" s="15" t="inlineStr"/>
      <c r="I14" s="15" t="inlineStr"/>
      <c r="J14" s="15" t="n">
        <v>4</v>
      </c>
      <c r="K14" s="17">
        <f>SUM(E14:J14)</f>
        <v/>
      </c>
      <c r="L14" s="18">
        <f>E14*3000+F14*3000+G14*2500+H14*2500+I14*2000+J14*3500</f>
        <v/>
      </c>
      <c r="M14" s="19" t="inlineStr">
        <is>
          <t>Phase 2: Продукт</t>
        </is>
      </c>
    </row>
    <row r="15" ht="22" customHeight="1">
      <c r="A15" s="15" t="inlineStr">
        <is>
          <t>2.4</t>
        </is>
      </c>
      <c r="B15" s="16" t="inlineStr">
        <is>
          <t>GlossaryAI</t>
        </is>
      </c>
      <c r="C15" s="16" t="inlineStr">
        <is>
          <t>Glossary CRUD + Import</t>
        </is>
      </c>
      <c r="D15" s="16" t="inlineStr">
        <is>
          <t>API, CSV/Excel импорт, версионирование, БД</t>
        </is>
      </c>
      <c r="E15" s="15" t="inlineStr"/>
      <c r="F15" s="15" t="n">
        <v>32</v>
      </c>
      <c r="G15" s="15" t="inlineStr"/>
      <c r="H15" s="15" t="inlineStr"/>
      <c r="I15" s="15" t="inlineStr"/>
      <c r="J15" s="15" t="n">
        <v>3</v>
      </c>
      <c r="K15" s="17">
        <f>SUM(E15:J15)</f>
        <v/>
      </c>
      <c r="L15" s="18">
        <f>E15*3000+F15*3000+G15*2500+H15*2500+I15*2000+J15*3500</f>
        <v/>
      </c>
      <c r="M15" s="19" t="inlineStr">
        <is>
          <t>Phase 2: Продукт</t>
        </is>
      </c>
    </row>
    <row r="16" ht="22" customHeight="1">
      <c r="A16" s="15" t="inlineStr">
        <is>
          <t>2.5</t>
        </is>
      </c>
      <c r="B16" s="16" t="inlineStr">
        <is>
          <t>GlossaryAI</t>
        </is>
      </c>
      <c r="C16" s="16" t="inlineStr">
        <is>
          <t>Glossary UI</t>
        </is>
      </c>
      <c r="D16" s="16" t="inlineStr">
        <is>
          <t>Таблица терминов, импорт, версии, поиск</t>
        </is>
      </c>
      <c r="E16" s="15" t="inlineStr"/>
      <c r="F16" s="15" t="inlineStr"/>
      <c r="G16" s="15" t="n">
        <v>24</v>
      </c>
      <c r="H16" s="15" t="inlineStr"/>
      <c r="I16" s="15" t="inlineStr"/>
      <c r="J16" s="15" t="n">
        <v>2</v>
      </c>
      <c r="K16" s="17">
        <f>SUM(E16:J16)</f>
        <v/>
      </c>
      <c r="L16" s="18">
        <f>E16*3000+F16*3000+G16*2500+H16*2500+I16*2000+J16*3500</f>
        <v/>
      </c>
      <c r="M16" s="19" t="inlineStr">
        <is>
          <t>Phase 2: Продукт</t>
        </is>
      </c>
    </row>
    <row r="17" ht="22" customHeight="1">
      <c r="A17" s="15" t="inlineStr">
        <is>
          <t>2.6</t>
        </is>
      </c>
      <c r="B17" s="16" t="inlineStr">
        <is>
          <t>Recording</t>
        </is>
      </c>
      <c r="C17" s="16" t="inlineStr">
        <is>
          <t>Recording Service</t>
        </is>
      </c>
      <c r="D17" s="16" t="inlineStr">
        <is>
          <t>LiveKit Egress, composite layout, FFmpeg mux MP4</t>
        </is>
      </c>
      <c r="E17" s="15" t="inlineStr"/>
      <c r="F17" s="15" t="n">
        <v>48</v>
      </c>
      <c r="G17" s="15" t="inlineStr"/>
      <c r="H17" s="15" t="inlineStr"/>
      <c r="I17" s="15" t="inlineStr"/>
      <c r="J17" s="15" t="n">
        <v>4</v>
      </c>
      <c r="K17" s="17">
        <f>SUM(E17:J17)</f>
        <v/>
      </c>
      <c r="L17" s="18">
        <f>E17*3000+F17*3000+G17*2500+H17*2500+I17*2000+J17*3500</f>
        <v/>
      </c>
      <c r="M17" s="19" t="inlineStr">
        <is>
          <t>Phase 2: Продукт</t>
        </is>
      </c>
    </row>
    <row r="18" ht="22" customHeight="1">
      <c r="A18" s="15" t="inlineStr">
        <is>
          <t>2.7</t>
        </is>
      </c>
      <c r="B18" s="16" t="inlineStr">
        <is>
          <t>Recording</t>
        </is>
      </c>
      <c r="C18" s="16" t="inlineStr">
        <is>
          <t>Хранение и скачивание</t>
        </is>
      </c>
      <c r="D18" s="16" t="inlineStr">
        <is>
          <t>Файловое хранилище, retention, API скачивания</t>
        </is>
      </c>
      <c r="E18" s="15" t="inlineStr"/>
      <c r="F18" s="15" t="n">
        <v>16</v>
      </c>
      <c r="G18" s="15" t="inlineStr"/>
      <c r="H18" s="15" t="inlineStr"/>
      <c r="I18" s="15" t="inlineStr"/>
      <c r="J18" s="15" t="n">
        <v>2</v>
      </c>
      <c r="K18" s="17">
        <f>SUM(E18:J18)</f>
        <v/>
      </c>
      <c r="L18" s="18">
        <f>E18*3000+F18*3000+G18*2500+H18*2500+I18*2000+J18*3500</f>
        <v/>
      </c>
      <c r="M18" s="19" t="inlineStr">
        <is>
          <t>Phase 2: Продукт</t>
        </is>
      </c>
    </row>
    <row r="19" ht="22" customHeight="1">
      <c r="A19" s="15" t="inlineStr">
        <is>
          <t>2.8</t>
        </is>
      </c>
      <c r="B19" s="16" t="inlineStr">
        <is>
          <t>Web-клиент</t>
        </is>
      </c>
      <c r="C19" s="16" t="inlineStr">
        <is>
          <t>Screen Sharing</t>
        </is>
      </c>
      <c r="D19" s="16" t="inlineStr">
        <is>
          <t>Screen share, переключение layout</t>
        </is>
      </c>
      <c r="E19" s="15" t="inlineStr"/>
      <c r="F19" s="15" t="inlineStr"/>
      <c r="G19" s="15" t="n">
        <v>16</v>
      </c>
      <c r="H19" s="15" t="inlineStr"/>
      <c r="I19" s="15" t="inlineStr"/>
      <c r="J19" s="15" t="n">
        <v>1</v>
      </c>
      <c r="K19" s="17">
        <f>SUM(E19:J19)</f>
        <v/>
      </c>
      <c r="L19" s="18">
        <f>E19*3000+F19*3000+G19*2500+H19*2500+I19*2000+J19*3500</f>
        <v/>
      </c>
      <c r="M19" s="19" t="inlineStr">
        <is>
          <t>Phase 2: Продукт</t>
        </is>
      </c>
    </row>
    <row r="20" ht="22" customHeight="1">
      <c r="A20" s="15" t="inlineStr">
        <is>
          <t>2.9</t>
        </is>
      </c>
      <c r="B20" s="16" t="inlineStr">
        <is>
          <t>Admin Portal</t>
        </is>
      </c>
      <c r="C20" s="16" t="inlineStr">
        <is>
          <t>Дашборд реального времени</t>
        </is>
      </c>
      <c r="D20" s="16" t="inlineStr">
        <is>
          <t>GPU, latency, конференции — WebSocket</t>
        </is>
      </c>
      <c r="E20" s="15" t="inlineStr"/>
      <c r="F20" s="15" t="inlineStr"/>
      <c r="G20" s="15" t="n">
        <v>40</v>
      </c>
      <c r="H20" s="15" t="inlineStr"/>
      <c r="I20" s="15" t="inlineStr"/>
      <c r="J20" s="15" t="n">
        <v>4</v>
      </c>
      <c r="K20" s="17">
        <f>SUM(E20:J20)</f>
        <v/>
      </c>
      <c r="L20" s="18">
        <f>E20*3000+F20*3000+G20*2500+H20*2500+I20*2000+J20*3500</f>
        <v/>
      </c>
      <c r="M20" s="19" t="inlineStr">
        <is>
          <t>Phase 2: Продукт</t>
        </is>
      </c>
    </row>
    <row r="21" ht="22" customHeight="1">
      <c r="A21" s="15" t="inlineStr">
        <is>
          <t>2.10</t>
        </is>
      </c>
      <c r="B21" s="16" t="inlineStr">
        <is>
          <t>Admin Portal</t>
        </is>
      </c>
      <c r="C21" s="16" t="inlineStr">
        <is>
          <t>Управление системой</t>
        </is>
      </c>
      <c r="D21" s="16" t="inlineStr">
        <is>
          <t>Пользователи, глоссарии, настройки, white-label</t>
        </is>
      </c>
      <c r="E21" s="15" t="inlineStr"/>
      <c r="F21" s="15" t="inlineStr"/>
      <c r="G21" s="15" t="n">
        <v>32</v>
      </c>
      <c r="H21" s="15" t="inlineStr"/>
      <c r="I21" s="15" t="inlineStr"/>
      <c r="J21" s="15" t="n">
        <v>3</v>
      </c>
      <c r="K21" s="17">
        <f>SUM(E21:J21)</f>
        <v/>
      </c>
      <c r="L21" s="18">
        <f>E21*3000+F21*3000+G21*2500+H21*2500+I21*2000+J21*3500</f>
        <v/>
      </c>
      <c r="M21" s="19" t="inlineStr">
        <is>
          <t>Phase 2: Продукт</t>
        </is>
      </c>
    </row>
    <row r="22" ht="22" customHeight="1">
      <c r="A22" s="15" t="inlineStr">
        <is>
          <t>2.11</t>
        </is>
      </c>
      <c r="B22" s="16" t="inlineStr">
        <is>
          <t>Admin Portal</t>
        </is>
      </c>
      <c r="C22" s="16" t="inlineStr">
        <is>
          <t>Admin API</t>
        </is>
      </c>
      <c r="D22" s="16" t="inlineStr">
        <is>
          <t>Метрики, алерты, аудит-лог, настройки</t>
        </is>
      </c>
      <c r="E22" s="15" t="inlineStr"/>
      <c r="F22" s="15" t="n">
        <v>32</v>
      </c>
      <c r="G22" s="15" t="inlineStr"/>
      <c r="H22" s="15" t="inlineStr"/>
      <c r="I22" s="15" t="inlineStr"/>
      <c r="J22" s="15" t="n">
        <v>3</v>
      </c>
      <c r="K22" s="17">
        <f>SUM(E22:J22)</f>
        <v/>
      </c>
      <c r="L22" s="18">
        <f>E22*3000+F22*3000+G22*2500+H22*2500+I22*2000+J22*3500</f>
        <v/>
      </c>
      <c r="M22" s="19" t="inlineStr">
        <is>
          <t>Phase 2: Продукт</t>
        </is>
      </c>
    </row>
    <row r="23" ht="22" customHeight="1">
      <c r="A23" s="15" t="inlineStr">
        <is>
          <t>2.12</t>
        </is>
      </c>
      <c r="B23" s="16" t="inlineStr">
        <is>
          <t>БД</t>
        </is>
      </c>
      <c r="C23" s="16" t="inlineStr">
        <is>
          <t>PostgreSQL schema</t>
        </is>
      </c>
      <c r="D23" s="16" t="inlineStr">
        <is>
          <t>Миграции: пользователи, сессии, глоссарии</t>
        </is>
      </c>
      <c r="E23" s="15" t="inlineStr"/>
      <c r="F23" s="15" t="n">
        <v>12</v>
      </c>
      <c r="G23" s="15" t="inlineStr"/>
      <c r="H23" s="15" t="inlineStr"/>
      <c r="I23" s="15" t="inlineStr"/>
      <c r="J23" s="15" t="n">
        <v>1</v>
      </c>
      <c r="K23" s="17">
        <f>SUM(E23:J23)</f>
        <v/>
      </c>
      <c r="L23" s="18">
        <f>E23*3000+F23*3000+G23*2500+H23*2500+I23*2000+J23*3500</f>
        <v/>
      </c>
      <c r="M23" s="19" t="inlineStr">
        <is>
          <t>Phase 2: Продукт</t>
        </is>
      </c>
    </row>
    <row r="24" ht="22" customHeight="1">
      <c r="A24" s="15" t="inlineStr">
        <is>
          <t>2.13</t>
        </is>
      </c>
      <c r="B24" s="16" t="inlineStr">
        <is>
          <t>QA Phase 2</t>
        </is>
      </c>
      <c r="C24" s="16" t="inlineStr">
        <is>
          <t>Тестирование Phase 2</t>
        </is>
      </c>
      <c r="D24" s="16" t="inlineStr">
        <is>
          <t>Auth, глоссарий, запись, admin portal, регресс</t>
        </is>
      </c>
      <c r="E24" s="15" t="inlineStr"/>
      <c r="F24" s="15" t="inlineStr"/>
      <c r="G24" s="15" t="inlineStr"/>
      <c r="H24" s="15" t="inlineStr"/>
      <c r="I24" s="15" t="n">
        <v>40</v>
      </c>
      <c r="J24" s="15" t="n">
        <v>3</v>
      </c>
      <c r="K24" s="17">
        <f>SUM(E24:J24)</f>
        <v/>
      </c>
      <c r="L24" s="18">
        <f>E24*3000+F24*3000+G24*2500+H24*2500+I24*2000+J24*3500</f>
        <v/>
      </c>
      <c r="M24" s="19" t="inlineStr">
        <is>
          <t>Phase 2: Продукт</t>
        </is>
      </c>
    </row>
    <row r="25" ht="22" customHeight="1">
      <c r="A25" s="20" t="inlineStr">
        <is>
          <t>3.1</t>
        </is>
      </c>
      <c r="B25" s="21" t="inlineStr">
        <is>
          <t>DevOps</t>
        </is>
      </c>
      <c r="C25" s="21" t="inlineStr">
        <is>
          <t>Docker Compose production</t>
        </is>
      </c>
      <c r="D25" s="21" t="inlineStr">
        <is>
          <t>health checks, restart, logging, env</t>
        </is>
      </c>
      <c r="E25" s="20" t="inlineStr"/>
      <c r="F25" s="20" t="inlineStr"/>
      <c r="G25" s="20" t="inlineStr"/>
      <c r="H25" s="20" t="n">
        <v>24</v>
      </c>
      <c r="I25" s="20" t="inlineStr"/>
      <c r="J25" s="20" t="n">
        <v>2</v>
      </c>
      <c r="K25" s="22">
        <f>SUM(E25:J25)</f>
        <v/>
      </c>
      <c r="L25" s="23">
        <f>E25*3000+F25*3000+G25*2500+H25*2500+I25*2000+J25*3500</f>
        <v/>
      </c>
      <c r="M25" s="24" t="inlineStr">
        <is>
          <t>Phase 3: Prod-ready</t>
        </is>
      </c>
    </row>
    <row r="26" ht="22" customHeight="1">
      <c r="A26" s="20" t="inlineStr">
        <is>
          <t>3.2</t>
        </is>
      </c>
      <c r="B26" s="21" t="inlineStr">
        <is>
          <t>Безопасность</t>
        </is>
      </c>
      <c r="C26" s="21" t="inlineStr">
        <is>
          <t>TLS + шифрование</t>
        </is>
      </c>
      <c r="D26" s="21" t="inlineStr">
        <is>
          <t>Сертификаты, at rest, HTTPS</t>
        </is>
      </c>
      <c r="E26" s="20" t="inlineStr"/>
      <c r="F26" s="20" t="inlineStr"/>
      <c r="G26" s="20" t="inlineStr"/>
      <c r="H26" s="20" t="n">
        <v>20</v>
      </c>
      <c r="I26" s="20" t="inlineStr"/>
      <c r="J26" s="20" t="n">
        <v>2</v>
      </c>
      <c r="K26" s="22">
        <f>SUM(E26:J26)</f>
        <v/>
      </c>
      <c r="L26" s="23">
        <f>E26*3000+F26*3000+G26*2500+H26*2500+I26*2000+J26*3500</f>
        <v/>
      </c>
      <c r="M26" s="24" t="inlineStr">
        <is>
          <t>Phase 3: Prod-ready</t>
        </is>
      </c>
    </row>
    <row r="27" ht="22" customHeight="1">
      <c r="A27" s="20" t="inlineStr">
        <is>
          <t>3.3</t>
        </is>
      </c>
      <c r="B27" s="21" t="inlineStr">
        <is>
          <t>Деплой</t>
        </is>
      </c>
      <c r="C27" s="21" t="inlineStr">
        <is>
          <t>Mac Studio</t>
        </is>
      </c>
      <c r="D27" s="21" t="inlineStr">
        <is>
          <t>launchd + venv + MPS, Docker Desktop, скрипты</t>
        </is>
      </c>
      <c r="E27" s="20" t="inlineStr"/>
      <c r="F27" s="20" t="inlineStr"/>
      <c r="G27" s="20" t="inlineStr"/>
      <c r="H27" s="20" t="n">
        <v>24</v>
      </c>
      <c r="I27" s="20" t="inlineStr"/>
      <c r="J27" s="20" t="n">
        <v>2</v>
      </c>
      <c r="K27" s="22">
        <f>SUM(E27:J27)</f>
        <v/>
      </c>
      <c r="L27" s="23">
        <f>E27*3000+F27*3000+G27*2500+H27*2500+I27*2000+J27*3500</f>
        <v/>
      </c>
      <c r="M27" s="24" t="inlineStr">
        <is>
          <t>Phase 3: Prod-ready</t>
        </is>
      </c>
    </row>
    <row r="28" ht="22" customHeight="1">
      <c r="A28" s="20" t="inlineStr">
        <is>
          <t>3.4</t>
        </is>
      </c>
      <c r="B28" s="21" t="inlineStr">
        <is>
          <t>Деплой</t>
        </is>
      </c>
      <c r="C28" s="21" t="inlineStr">
        <is>
          <t>DGX Spark</t>
        </is>
      </c>
      <c r="D28" s="21" t="inlineStr">
        <is>
          <t>DGX OS, тест GB10 Blackwell</t>
        </is>
      </c>
      <c r="E28" s="20" t="inlineStr"/>
      <c r="F28" s="20" t="inlineStr"/>
      <c r="G28" s="20" t="inlineStr"/>
      <c r="H28" s="20" t="n">
        <v>16</v>
      </c>
      <c r="I28" s="20" t="inlineStr"/>
      <c r="J28" s="20" t="n">
        <v>1</v>
      </c>
      <c r="K28" s="22">
        <f>SUM(E28:J28)</f>
        <v/>
      </c>
      <c r="L28" s="23">
        <f>E28*3000+F28*3000+G28*2500+H28*2500+I28*2000+J28*3500</f>
        <v/>
      </c>
      <c r="M28" s="24" t="inlineStr">
        <is>
          <t>Phase 3: Prod-ready</t>
        </is>
      </c>
    </row>
    <row r="29" ht="22" customHeight="1">
      <c r="A29" s="20" t="inlineStr">
        <is>
          <t>3.5</t>
        </is>
      </c>
      <c r="B29" s="21" t="inlineStr">
        <is>
          <t>Мониторинг</t>
        </is>
      </c>
      <c r="C29" s="21" t="inlineStr">
        <is>
          <t>Prometheus + алерты</t>
        </is>
      </c>
      <c r="D29" s="21" t="inlineStr">
        <is>
          <t>Metrics, Grafana/встроенные, алерты latency/GPU</t>
        </is>
      </c>
      <c r="E29" s="20" t="inlineStr"/>
      <c r="F29" s="20" t="inlineStr"/>
      <c r="G29" s="20" t="inlineStr"/>
      <c r="H29" s="20" t="n">
        <v>20</v>
      </c>
      <c r="I29" s="20" t="inlineStr"/>
      <c r="J29" s="20" t="n">
        <v>2</v>
      </c>
      <c r="K29" s="22">
        <f>SUM(E29:J29)</f>
        <v/>
      </c>
      <c r="L29" s="23">
        <f>E29*3000+F29*3000+G29*2500+H29*2500+I29*2000+J29*3500</f>
        <v/>
      </c>
      <c r="M29" s="24" t="inlineStr">
        <is>
          <t>Phase 3: Prod-ready</t>
        </is>
      </c>
    </row>
    <row r="30" ht="22" customHeight="1">
      <c r="A30" s="20" t="inlineStr">
        <is>
          <t>3.6</t>
        </is>
      </c>
      <c r="B30" s="21" t="inlineStr">
        <is>
          <t>Документация</t>
        </is>
      </c>
      <c r="C30" s="21" t="inlineStr">
        <is>
          <t>Инструкции по установке</t>
        </is>
      </c>
      <c r="D30" s="21" t="inlineStr">
        <is>
          <t>4 конфигурации железа</t>
        </is>
      </c>
      <c r="E30" s="20" t="inlineStr"/>
      <c r="F30" s="20" t="inlineStr"/>
      <c r="G30" s="20" t="inlineStr"/>
      <c r="H30" s="20" t="n">
        <v>24</v>
      </c>
      <c r="I30" s="20" t="inlineStr"/>
      <c r="J30" s="20" t="n">
        <v>2</v>
      </c>
      <c r="K30" s="22">
        <f>SUM(E30:J30)</f>
        <v/>
      </c>
      <c r="L30" s="23">
        <f>E30*3000+F30*3000+G30*2500+H30*2500+I30*2000+J30*3500</f>
        <v/>
      </c>
      <c r="M30" s="24" t="inlineStr">
        <is>
          <t>Phase 3: Prod-ready</t>
        </is>
      </c>
    </row>
    <row r="31" ht="22" customHeight="1">
      <c r="A31" s="20" t="inlineStr">
        <is>
          <t>3.7</t>
        </is>
      </c>
      <c r="B31" s="21" t="inlineStr">
        <is>
          <t>Документация</t>
        </is>
      </c>
      <c r="C31" s="21" t="inlineStr">
        <is>
          <t>Пользовательская документация</t>
        </is>
      </c>
      <c r="D31" s="21" t="inlineStr">
        <is>
          <t>Руководство: модератор, участник, администратор</t>
        </is>
      </c>
      <c r="E31" s="20" t="inlineStr"/>
      <c r="F31" s="20" t="n">
        <v>16</v>
      </c>
      <c r="G31" s="20" t="inlineStr"/>
      <c r="H31" s="20" t="inlineStr"/>
      <c r="I31" s="20" t="inlineStr"/>
      <c r="J31" s="20" t="n">
        <v>2</v>
      </c>
      <c r="K31" s="22">
        <f>SUM(E31:J31)</f>
        <v/>
      </c>
      <c r="L31" s="23">
        <f>E31*3000+F31*3000+G31*2500+H31*2500+I31*2000+J31*3500</f>
        <v/>
      </c>
      <c r="M31" s="24" t="inlineStr">
        <is>
          <t>Phase 3: Prod-ready</t>
        </is>
      </c>
    </row>
    <row r="32" ht="22" customHeight="1">
      <c r="A32" s="20" t="inlineStr">
        <is>
          <t>3.8</t>
        </is>
      </c>
      <c r="B32" s="21" t="inlineStr">
        <is>
          <t>Документация</t>
        </is>
      </c>
      <c r="C32" s="21" t="inlineStr">
        <is>
          <t>API документация</t>
        </is>
      </c>
      <c r="D32" s="21" t="inlineStr">
        <is>
          <t>OpenAPI spec, примеры интеграции</t>
        </is>
      </c>
      <c r="E32" s="20" t="inlineStr"/>
      <c r="F32" s="20" t="n">
        <v>12</v>
      </c>
      <c r="G32" s="20" t="inlineStr"/>
      <c r="H32" s="20" t="inlineStr"/>
      <c r="I32" s="20" t="inlineStr"/>
      <c r="J32" s="20" t="n">
        <v>1</v>
      </c>
      <c r="K32" s="22">
        <f>SUM(E32:J32)</f>
        <v/>
      </c>
      <c r="L32" s="23">
        <f>E32*3000+F32*3000+G32*2500+H32*2500+I32*2000+J32*3500</f>
        <v/>
      </c>
      <c r="M32" s="24" t="inlineStr">
        <is>
          <t>Phase 3: Prod-ready</t>
        </is>
      </c>
    </row>
    <row r="33" ht="22" customHeight="1">
      <c r="A33" s="20" t="inlineStr">
        <is>
          <t>3.9</t>
        </is>
      </c>
      <c r="B33" s="21" t="inlineStr">
        <is>
          <t>QA Phase 3</t>
        </is>
      </c>
      <c r="C33" s="21" t="inlineStr">
        <is>
          <t>Нагрузочное тестирование</t>
        </is>
      </c>
      <c r="D33" s="21" t="inlineStr">
        <is>
          <t>10–20 участников, 3 языка, latency, запись</t>
        </is>
      </c>
      <c r="E33" s="20" t="inlineStr"/>
      <c r="F33" s="20" t="inlineStr"/>
      <c r="G33" s="20" t="inlineStr"/>
      <c r="H33" s="20" t="inlineStr"/>
      <c r="I33" s="20" t="n">
        <v>24</v>
      </c>
      <c r="J33" s="20" t="n">
        <v>2</v>
      </c>
      <c r="K33" s="22">
        <f>SUM(E33:J33)</f>
        <v/>
      </c>
      <c r="L33" s="23">
        <f>E33*3000+F33*3000+G33*2500+H33*2500+I33*2000+J33*3500</f>
        <v/>
      </c>
      <c r="M33" s="24" t="inlineStr">
        <is>
          <t>Phase 3: Prod-ready</t>
        </is>
      </c>
    </row>
    <row r="34" ht="22" customHeight="1">
      <c r="A34" s="20" t="inlineStr">
        <is>
          <t>3.10</t>
        </is>
      </c>
      <c r="B34" s="21" t="inlineStr">
        <is>
          <t>QA Phase 3</t>
        </is>
      </c>
      <c r="C34" s="21" t="inlineStr">
        <is>
          <t>Приёмочное тестирование</t>
        </is>
      </c>
      <c r="D34" s="21" t="inlineStr">
        <is>
          <t>Чеклист FR/NFR, баг-фиксы, финальная стабилизация</t>
        </is>
      </c>
      <c r="E34" s="20" t="inlineStr"/>
      <c r="F34" s="20" t="inlineStr"/>
      <c r="G34" s="20" t="inlineStr"/>
      <c r="H34" s="20" t="inlineStr"/>
      <c r="I34" s="20" t="n">
        <v>32</v>
      </c>
      <c r="J34" s="20" t="n">
        <v>3</v>
      </c>
      <c r="K34" s="22">
        <f>SUM(E34:J34)</f>
        <v/>
      </c>
      <c r="L34" s="23">
        <f>E34*3000+F34*3000+G34*2500+H34*2500+I34*2000+J34*3500</f>
        <v/>
      </c>
      <c r="M34" s="24" t="inlineStr">
        <is>
          <t>Phase 3: Prod-ready</t>
        </is>
      </c>
    </row>
    <row r="35" ht="6" customHeight="1"/>
    <row r="36" ht="24" customHeight="1">
      <c r="A36" s="25" t="inlineStr">
        <is>
          <t>ИТОГО (без буфера)</t>
        </is>
      </c>
      <c r="E36" s="26">
        <f>SUM(E4:E34)</f>
        <v/>
      </c>
      <c r="F36" s="26">
        <f>SUM(F4:F34)</f>
        <v/>
      </c>
      <c r="G36" s="26">
        <f>SUM(G4:G34)</f>
        <v/>
      </c>
      <c r="H36" s="26">
        <f>SUM(H4:H34)</f>
        <v/>
      </c>
      <c r="I36" s="26">
        <f>SUM(I4:I34)</f>
        <v/>
      </c>
      <c r="J36" s="26">
        <f>SUM(J4:J34)</f>
        <v/>
      </c>
      <c r="K36" s="26">
        <f>SUM(K4:K34)</f>
        <v/>
      </c>
      <c r="L36" s="27">
        <f>SUM(L4:L34)</f>
        <v/>
      </c>
      <c r="M36" s="28" t="n"/>
    </row>
    <row r="37" ht="24" customHeight="1">
      <c r="A37" s="29" t="inlineStr">
        <is>
          <t>+ Буфер на риски 15%</t>
        </is>
      </c>
      <c r="E37" s="30">
        <f>E36*0.15</f>
        <v/>
      </c>
      <c r="F37" s="30">
        <f>F36*0.15</f>
        <v/>
      </c>
      <c r="G37" s="30">
        <f>G36*0.15</f>
        <v/>
      </c>
      <c r="H37" s="30">
        <f>H36*0.15</f>
        <v/>
      </c>
      <c r="I37" s="30">
        <f>I36*0.15</f>
        <v/>
      </c>
      <c r="J37" s="30">
        <f>J36*0.15</f>
        <v/>
      </c>
      <c r="K37" s="30">
        <f>K36*0.15</f>
        <v/>
      </c>
      <c r="L37" s="31">
        <f>L36*0.15</f>
        <v/>
      </c>
      <c r="M37" s="32" t="n"/>
    </row>
    <row r="38" ht="24" customHeight="1">
      <c r="A38" s="33" t="inlineStr">
        <is>
          <t>ИТОГО С БУФЕРОМ</t>
        </is>
      </c>
      <c r="E38" s="34">
        <f>E36+E37</f>
        <v/>
      </c>
      <c r="F38" s="34">
        <f>F36+F37</f>
        <v/>
      </c>
      <c r="G38" s="34">
        <f>G36+G37</f>
        <v/>
      </c>
      <c r="H38" s="34">
        <f>H36+H37</f>
        <v/>
      </c>
      <c r="I38" s="34">
        <f>I36+I37</f>
        <v/>
      </c>
      <c r="J38" s="34">
        <f>J36+J37</f>
        <v/>
      </c>
      <c r="K38" s="34">
        <f>K36+K37</f>
        <v/>
      </c>
      <c r="L38" s="35">
        <f>L36+L37</f>
        <v/>
      </c>
      <c r="M38" s="36" t="n"/>
    </row>
  </sheetData>
  <mergeCells count="5">
    <mergeCell ref="A37:D37"/>
    <mergeCell ref="A1:M1"/>
    <mergeCell ref="E2:J2"/>
    <mergeCell ref="A38:D38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2" customWidth="1" min="4" max="4"/>
    <col width="22" customWidth="1" min="5" max="5"/>
    <col width="18" customWidth="1" min="6" max="6"/>
  </cols>
  <sheetData>
    <row r="1" ht="30" customHeight="1">
      <c r="A1" s="1" t="inlineStr">
        <is>
          <t>SyncVoice™ — Сводная таблица по фазам</t>
        </is>
      </c>
    </row>
    <row r="3" ht="28" customHeight="1">
      <c r="A3" s="2" t="inlineStr">
        <is>
          <t>Фаза</t>
        </is>
      </c>
      <c r="B3" s="2" t="inlineStr">
        <is>
          <t>Задач</t>
        </is>
      </c>
      <c r="C3" s="2" t="inlineStr">
        <is>
          <t>Часов (без буфера)</t>
        </is>
      </c>
      <c r="D3" s="2" t="inlineStr">
        <is>
          <t>Стоимость (без буфера)</t>
        </is>
      </c>
      <c r="E3" s="2" t="inlineStr">
        <is>
          <t>Стоимость (+15% буфер)</t>
        </is>
      </c>
      <c r="F3" s="2" t="inlineStr">
        <is>
          <t>Срок</t>
        </is>
      </c>
    </row>
    <row r="4" ht="22" customHeight="1">
      <c r="A4" s="12" t="inlineStr">
        <is>
          <t>Phase 1: MVP</t>
        </is>
      </c>
      <c r="B4" s="10" t="n">
        <v>8</v>
      </c>
      <c r="C4" s="10">
        <f>SUMIF(Декомпозиция!M4:M34,"Phase 1: MVP",Декомпозиция!K4:K34)</f>
        <v/>
      </c>
      <c r="D4" s="13">
        <f>SUMIF(Декомпозиция!M4:M34,"Phase 1: MVP",Декомпозиция!L4:L34)</f>
        <v/>
      </c>
      <c r="E4" s="13">
        <f>D4*1.15</f>
        <v/>
      </c>
      <c r="F4" s="10" t="inlineStr">
        <is>
          <t>6–8 недель</t>
        </is>
      </c>
    </row>
    <row r="5" ht="22" customHeight="1">
      <c r="A5" s="17" t="inlineStr">
        <is>
          <t>Phase 2: Продукт</t>
        </is>
      </c>
      <c r="B5" s="15" t="n">
        <v>13</v>
      </c>
      <c r="C5" s="15">
        <f>SUMIF(Декомпозиция!M4:M34,"Phase 2: Продукт",Декомпозиция!K4:K34)</f>
        <v/>
      </c>
      <c r="D5" s="18">
        <f>SUMIF(Декомпозиция!M4:M34,"Phase 2: Продукт",Декомпозиция!L4:L34)</f>
        <v/>
      </c>
      <c r="E5" s="18">
        <f>D5*1.15</f>
        <v/>
      </c>
      <c r="F5" s="15" t="inlineStr">
        <is>
          <t>8–10 недель</t>
        </is>
      </c>
    </row>
    <row r="6" ht="22" customHeight="1">
      <c r="A6" s="22" t="inlineStr">
        <is>
          <t>Phase 3: Prod-ready</t>
        </is>
      </c>
      <c r="B6" s="20" t="n">
        <v>10</v>
      </c>
      <c r="C6" s="20">
        <f>SUMIF(Декомпозиция!M4:M34,"Phase 3: Prod-ready",Декомпозиция!K4:K34)</f>
        <v/>
      </c>
      <c r="D6" s="23">
        <f>SUMIF(Декомпозиция!M4:M34,"Phase 3: Prod-ready",Декомпозиция!L4:L34)</f>
        <v/>
      </c>
      <c r="E6" s="23">
        <f>D6*1.15</f>
        <v/>
      </c>
      <c r="F6" s="20" t="inlineStr">
        <is>
          <t>4–6 недель</t>
        </is>
      </c>
    </row>
    <row r="7" ht="28" customHeight="1">
      <c r="A7" s="37" t="inlineStr">
        <is>
          <t>ИТОГО С БУФЕРОМ</t>
        </is>
      </c>
      <c r="B7" s="34">
        <f>SUM(B4:B6)</f>
        <v/>
      </c>
      <c r="C7" s="35">
        <f>SUM(C4:C6)</f>
        <v/>
      </c>
      <c r="D7" s="35">
        <f>SUM(D4:D6)</f>
        <v/>
      </c>
      <c r="E7" s="35">
        <f>SUM(E4:E6)</f>
        <v/>
      </c>
      <c r="F7" s="34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2026-02-24T05:50:12Z</dcterms:created>
  <dcterms:modified xmlns:dcterms="http://purl.org/dc/terms/" xmlns:xsi="http://www.w3.org/2001/XMLSchema-instance" xsi:type="dcterms:W3CDTF">2026-02-24T05:50:12Z</dcterms:modified>
</cp:coreProperties>
</file>